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Catalog" sheetId="1" state="visible" r:id="rId1"/>
    <sheet xmlns:r="http://schemas.openxmlformats.org/officeDocument/2006/relationships" name="Resource Summary" sheetId="2" state="visible" r:id="rId2"/>
    <sheet xmlns:r="http://schemas.openxmlformats.org/officeDocument/2006/relationships" name="Source Reference" sheetId="3" state="visible" r:id="rId3"/>
    <sheet xmlns:r="http://schemas.openxmlformats.org/officeDocument/2006/relationships" name="Instanc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Courier New"/>
      <b val="1"/>
      <color rgb="00FFFFFF"/>
      <sz val="10"/>
    </font>
    <font>
      <name val="Arial"/>
      <color rgb="00111111"/>
      <sz val="9"/>
    </font>
    <font>
      <name val="Arial"/>
      <i val="1"/>
      <color rgb="00111111"/>
      <sz val="9"/>
    </font>
    <font>
      <name val="Arial"/>
      <b val="1"/>
      <color rgb="00111111"/>
      <sz val="10"/>
    </font>
    <font>
      <name val="Courier New"/>
      <color rgb="00444444"/>
      <sz val="8"/>
    </font>
    <font>
      <name val="Arial"/>
      <b val="1"/>
      <color rgb="001A3F6F"/>
      <sz val="10"/>
    </font>
    <font>
      <name val="Arial"/>
      <color rgb="00888888"/>
      <sz val="10"/>
    </font>
    <font>
      <name val="Arial"/>
      <b val="1"/>
      <color rgb="00CC0000"/>
      <sz val="10"/>
    </font>
    <font>
      <name val="Arial"/>
      <color rgb="00111111"/>
      <sz val="10"/>
    </font>
    <font>
      <name val="Courier New"/>
      <b val="1"/>
      <color rgb="00FFFFFF"/>
      <sz val="9"/>
    </font>
    <font>
      <name val="Arial"/>
      <b val="1"/>
      <color rgb="00FFFFFF"/>
      <sz val="9"/>
    </font>
    <font>
      <name val="Courier New"/>
      <color rgb="00111111"/>
      <sz val="9"/>
    </font>
    <font>
      <name val="Arial"/>
      <b val="1"/>
      <color rgb="007D4308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F5F5F5"/>
      </patternFill>
    </fill>
    <fill>
      <patternFill patternType="solid">
        <fgColor rgb="007D2020"/>
      </patternFill>
    </fill>
    <fill>
      <patternFill patternType="solid">
        <fgColor rgb="00FCE4D6"/>
      </patternFill>
    </fill>
    <fill>
      <patternFill patternType="solid">
        <fgColor rgb="00EBD5F9"/>
      </patternFill>
    </fill>
    <fill>
      <patternFill patternType="solid">
        <fgColor rgb="004A1A6B"/>
      </patternFill>
    </fill>
    <fill>
      <patternFill patternType="solid">
        <fgColor rgb="001A5C6B"/>
      </patternFill>
    </fill>
    <fill>
      <patternFill patternType="solid">
        <fgColor rgb="00D5F0F5"/>
      </patternFill>
    </fill>
    <fill>
      <patternFill patternType="solid">
        <fgColor rgb="005C4A00"/>
      </patternFill>
    </fill>
    <fill>
      <patternFill patternType="solid">
        <fgColor rgb="00FFF2CC"/>
      </patternFill>
    </fill>
    <fill>
      <patternFill patternType="solid">
        <fgColor rgb="001A3F6F"/>
      </patternFill>
    </fill>
    <fill>
      <patternFill patternType="solid">
        <fgColor rgb="00D6E4F0"/>
      </patternFill>
    </fill>
    <fill>
      <patternFill patternType="solid">
        <fgColor rgb="001A5C38"/>
      </patternFill>
    </fill>
    <fill>
      <patternFill patternType="solid">
        <fgColor rgb="00D5F5E3"/>
      </patternFill>
    </fill>
  </fills>
  <borders count="4">
    <border>
      <left/>
      <right/>
      <top/>
      <bottom/>
      <diagonal/>
    </border>
    <border>
      <left style="medium">
        <color rgb="00444444"/>
      </left>
      <right style="medium">
        <color rgb="00444444"/>
      </right>
      <top style="medium">
        <color rgb="00444444"/>
      </top>
      <bottom style="medium">
        <color rgb="00444444"/>
      </bottom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left" vertical="center" wrapText="1"/>
    </xf>
    <xf numFmtId="0" fontId="4" fillId="5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left" vertical="center" wrapText="1"/>
    </xf>
    <xf numFmtId="0" fontId="8" fillId="7" borderId="3" applyAlignment="1" pivotButton="0" quotePrefix="0" xfId="0">
      <alignment horizontal="left" vertical="center" wrapText="1"/>
    </xf>
    <xf numFmtId="0" fontId="9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3" fontId="11" fillId="6" borderId="3" applyAlignment="1" pivotButton="0" quotePrefix="0" xfId="0">
      <alignment horizontal="center" vertical="center" wrapText="1"/>
    </xf>
    <xf numFmtId="3" fontId="12" fillId="6" borderId="3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left" vertical="center" wrapText="1"/>
    </xf>
    <xf numFmtId="0" fontId="13" fillId="6" borderId="3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6" fillId="8" borderId="3" applyAlignment="1" pivotButton="0" quotePrefix="0" xfId="0">
      <alignment horizontal="left" vertical="center" wrapText="1"/>
    </xf>
    <xf numFmtId="0" fontId="4" fillId="8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left" vertical="center" wrapText="1"/>
    </xf>
    <xf numFmtId="0" fontId="13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3" fontId="11" fillId="7" borderId="3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center" vertical="center" wrapText="1"/>
    </xf>
    <xf numFmtId="3" fontId="12" fillId="7" borderId="3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9" borderId="3" applyAlignment="1" pivotButton="0" quotePrefix="0" xfId="0">
      <alignment horizontal="left" vertical="center" wrapText="1"/>
    </xf>
    <xf numFmtId="0" fontId="4" fillId="9" borderId="3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left" vertical="center" wrapText="1"/>
    </xf>
    <xf numFmtId="0" fontId="13" fillId="10" borderId="3" applyAlignment="1" pivotButton="0" quotePrefix="0" xfId="0">
      <alignment horizontal="center" vertical="center" wrapText="1"/>
    </xf>
    <xf numFmtId="0" fontId="10" fillId="10" borderId="3" applyAlignment="1" pivotButton="0" quotePrefix="0" xfId="0">
      <alignment horizontal="left" vertical="center" wrapText="1"/>
    </xf>
    <xf numFmtId="3" fontId="11" fillId="10" borderId="3" applyAlignment="1" pivotButton="0" quotePrefix="0" xfId="0">
      <alignment horizontal="center" vertical="center" wrapText="1"/>
    </xf>
    <xf numFmtId="3" fontId="12" fillId="10" borderId="3" applyAlignment="1" pivotButton="0" quotePrefix="0" xfId="0">
      <alignment horizontal="center" vertical="center" wrapText="1"/>
    </xf>
    <xf numFmtId="0" fontId="3" fillId="10" borderId="3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left" vertical="center" wrapText="1"/>
    </xf>
    <xf numFmtId="0" fontId="6" fillId="11" borderId="3" applyAlignment="1" pivotButton="0" quotePrefix="0" xfId="0">
      <alignment horizontal="left" vertical="center" wrapText="1"/>
    </xf>
    <xf numFmtId="0" fontId="4" fillId="11" borderId="3" applyAlignment="1" pivotButton="0" quotePrefix="0" xfId="0">
      <alignment horizontal="center" vertical="center" wrapText="1"/>
    </xf>
    <xf numFmtId="0" fontId="7" fillId="12" borderId="3" applyAlignment="1" pivotButton="0" quotePrefix="0" xfId="0">
      <alignment horizontal="left" vertical="center" wrapText="1"/>
    </xf>
    <xf numFmtId="0" fontId="9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left" vertical="center" wrapText="1"/>
    </xf>
    <xf numFmtId="3" fontId="11" fillId="12" borderId="3" applyAlignment="1" pivotButton="0" quotePrefix="0" xfId="0">
      <alignment horizontal="center" vertical="center" wrapText="1"/>
    </xf>
    <xf numFmtId="3" fontId="12" fillId="12" borderId="3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left" vertical="center" wrapText="1"/>
    </xf>
    <xf numFmtId="0" fontId="13" fillId="12" borderId="3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left" vertical="center" wrapText="1"/>
    </xf>
    <xf numFmtId="0" fontId="6" fillId="13" borderId="3" applyAlignment="1" pivotButton="0" quotePrefix="0" xfId="0">
      <alignment horizontal="left" vertical="center" wrapText="1"/>
    </xf>
    <xf numFmtId="0" fontId="4" fillId="13" borderId="3" applyAlignment="1" pivotButton="0" quotePrefix="0" xfId="0">
      <alignment horizontal="center" vertical="center" wrapText="1"/>
    </xf>
    <xf numFmtId="0" fontId="7" fillId="14" borderId="3" applyAlignment="1" pivotButton="0" quotePrefix="0" xfId="0">
      <alignment horizontal="left" vertical="center" wrapText="1"/>
    </xf>
    <xf numFmtId="0" fontId="13" fillId="14" borderId="3" applyAlignment="1" pivotButton="0" quotePrefix="0" xfId="0">
      <alignment horizontal="center" vertical="center" wrapText="1"/>
    </xf>
    <xf numFmtId="0" fontId="10" fillId="14" borderId="3" applyAlignment="1" pivotButton="0" quotePrefix="0" xfId="0">
      <alignment horizontal="left" vertical="center" wrapText="1"/>
    </xf>
    <xf numFmtId="3" fontId="11" fillId="14" borderId="3" applyAlignment="1" pivotButton="0" quotePrefix="0" xfId="0">
      <alignment horizontal="center" vertical="center" wrapText="1"/>
    </xf>
    <xf numFmtId="3" fontId="12" fillId="14" borderId="3" applyAlignment="1" pivotButton="0" quotePrefix="0" xfId="0">
      <alignment horizontal="center" vertical="center" wrapText="1"/>
    </xf>
    <xf numFmtId="0" fontId="3" fillId="14" borderId="3" applyAlignment="1" pivotButton="0" quotePrefix="0" xfId="0">
      <alignment horizontal="left" vertical="center" wrapText="1"/>
    </xf>
    <xf numFmtId="0" fontId="9" fillId="14" borderId="3" applyAlignment="1" pivotButton="0" quotePrefix="0" xfId="0">
      <alignment horizontal="center" vertical="center" wrapText="1"/>
    </xf>
    <xf numFmtId="0" fontId="5" fillId="15" borderId="2" applyAlignment="1" pivotButton="0" quotePrefix="0" xfId="0">
      <alignment horizontal="left" vertical="center" wrapText="1"/>
    </xf>
    <xf numFmtId="0" fontId="6" fillId="15" borderId="3" applyAlignment="1" pivotButton="0" quotePrefix="0" xfId="0">
      <alignment horizontal="left" vertical="center" wrapText="1"/>
    </xf>
    <xf numFmtId="0" fontId="4" fillId="15" borderId="3" applyAlignment="1" pivotButton="0" quotePrefix="0" xfId="0">
      <alignment horizontal="center" vertical="center" wrapText="1"/>
    </xf>
    <xf numFmtId="0" fontId="7" fillId="16" borderId="3" applyAlignment="1" pivotButton="0" quotePrefix="0" xfId="0">
      <alignment horizontal="left" vertical="center" wrapText="1"/>
    </xf>
    <xf numFmtId="0" fontId="8" fillId="16" borderId="3" applyAlignment="1" pivotButton="0" quotePrefix="0" xfId="0">
      <alignment horizontal="left" vertical="center" wrapText="1"/>
    </xf>
    <xf numFmtId="0" fontId="9" fillId="16" borderId="3" applyAlignment="1" pivotButton="0" quotePrefix="0" xfId="0">
      <alignment horizontal="center" vertical="center" wrapText="1"/>
    </xf>
    <xf numFmtId="0" fontId="10" fillId="16" borderId="3" applyAlignment="1" pivotButton="0" quotePrefix="0" xfId="0">
      <alignment horizontal="left" vertical="center" wrapText="1"/>
    </xf>
    <xf numFmtId="3" fontId="11" fillId="16" borderId="3" applyAlignment="1" pivotButton="0" quotePrefix="0" xfId="0">
      <alignment horizontal="center" vertical="center" wrapText="1"/>
    </xf>
    <xf numFmtId="3" fontId="12" fillId="16" borderId="3" applyAlignment="1" pivotButton="0" quotePrefix="0" xfId="0">
      <alignment horizontal="center" vertical="center" wrapText="1"/>
    </xf>
    <xf numFmtId="0" fontId="3" fillId="16" borderId="3" applyAlignment="1" pivotButton="0" quotePrefix="0" xfId="0">
      <alignment horizontal="left" vertical="center" wrapText="1"/>
    </xf>
    <xf numFmtId="0" fontId="13" fillId="16" borderId="3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left" vertical="center" wrapText="1"/>
    </xf>
    <xf numFmtId="3" fontId="14" fillId="6" borderId="3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left" vertical="center" wrapText="1"/>
    </xf>
    <xf numFmtId="3" fontId="14" fillId="7" borderId="3" applyAlignment="1" pivotButton="0" quotePrefix="0" xfId="0">
      <alignment horizontal="center" vertical="center" wrapText="1"/>
    </xf>
    <xf numFmtId="0" fontId="4" fillId="9" borderId="3" applyAlignment="1" pivotButton="0" quotePrefix="0" xfId="0">
      <alignment horizontal="left" vertical="center" wrapText="1"/>
    </xf>
    <xf numFmtId="3" fontId="14" fillId="10" borderId="3" applyAlignment="1" pivotButton="0" quotePrefix="0" xfId="0">
      <alignment horizontal="center" vertical="center" wrapText="1"/>
    </xf>
    <xf numFmtId="0" fontId="4" fillId="11" borderId="3" applyAlignment="1" pivotButton="0" quotePrefix="0" xfId="0">
      <alignment horizontal="left" vertical="center" wrapText="1"/>
    </xf>
    <xf numFmtId="3" fontId="14" fillId="12" borderId="3" applyAlignment="1" pivotButton="0" quotePrefix="0" xfId="0">
      <alignment horizontal="center" vertical="center" wrapText="1"/>
    </xf>
    <xf numFmtId="0" fontId="4" fillId="13" borderId="3" applyAlignment="1" pivotButton="0" quotePrefix="0" xfId="0">
      <alignment horizontal="left" vertical="center" wrapText="1"/>
    </xf>
    <xf numFmtId="3" fontId="14" fillId="14" borderId="3" applyAlignment="1" pivotButton="0" quotePrefix="0" xfId="0">
      <alignment horizontal="center" vertical="center" wrapText="1"/>
    </xf>
    <xf numFmtId="0" fontId="4" fillId="15" borderId="3" applyAlignment="1" pivotButton="0" quotePrefix="0" xfId="0">
      <alignment horizontal="left" vertical="center" wrapText="1"/>
    </xf>
    <xf numFmtId="3" fontId="14" fillId="16" borderId="3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3" fontId="5" fillId="2" borderId="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5" fillId="5" borderId="3" applyAlignment="1" pivotButton="0" quotePrefix="0" xfId="0">
      <alignment horizontal="left" vertical="center" wrapText="1"/>
    </xf>
    <xf numFmtId="0" fontId="16" fillId="5" borderId="3" applyAlignment="1" pivotButton="0" quotePrefix="0" xfId="0">
      <alignment horizontal="left" vertical="center" wrapText="1"/>
    </xf>
    <xf numFmtId="0" fontId="17" fillId="7" borderId="3" applyAlignment="1" pivotButton="0" quotePrefix="0" xfId="0">
      <alignment horizontal="left" vertical="center" wrapText="1"/>
    </xf>
    <xf numFmtId="0" fontId="15" fillId="8" borderId="3" applyAlignment="1" pivotButton="0" quotePrefix="0" xfId="0">
      <alignment horizontal="left" vertical="center" wrapText="1"/>
    </xf>
    <xf numFmtId="0" fontId="16" fillId="8" borderId="3" applyAlignment="1" pivotButton="0" quotePrefix="0" xfId="0">
      <alignment horizontal="left" vertical="center" wrapText="1"/>
    </xf>
    <xf numFmtId="0" fontId="15" fillId="9" borderId="3" applyAlignment="1" pivotButton="0" quotePrefix="0" xfId="0">
      <alignment horizontal="left" vertical="center" wrapText="1"/>
    </xf>
    <xf numFmtId="0" fontId="16" fillId="9" borderId="3" applyAlignment="1" pivotButton="0" quotePrefix="0" xfId="0">
      <alignment horizontal="left" vertical="center" wrapText="1"/>
    </xf>
    <xf numFmtId="0" fontId="15" fillId="11" borderId="3" applyAlignment="1" pivotButton="0" quotePrefix="0" xfId="0">
      <alignment horizontal="left" vertical="center" wrapText="1"/>
    </xf>
    <xf numFmtId="0" fontId="16" fillId="11" borderId="3" applyAlignment="1" pivotButton="0" quotePrefix="0" xfId="0">
      <alignment horizontal="left" vertical="center" wrapText="1"/>
    </xf>
    <xf numFmtId="0" fontId="15" fillId="13" borderId="3" applyAlignment="1" pivotButton="0" quotePrefix="0" xfId="0">
      <alignment horizontal="left" vertical="center" wrapText="1"/>
    </xf>
    <xf numFmtId="0" fontId="16" fillId="13" borderId="3" applyAlignment="1" pivotButton="0" quotePrefix="0" xfId="0">
      <alignment horizontal="left" vertical="center" wrapText="1"/>
    </xf>
    <xf numFmtId="0" fontId="15" fillId="15" borderId="3" applyAlignment="1" pivotButton="0" quotePrefix="0" xfId="0">
      <alignment horizontal="left" vertical="center" wrapText="1"/>
    </xf>
    <xf numFmtId="0" fontId="16" fillId="15" borderId="3" applyAlignment="1" pivotButton="0" quotePrefix="0" xfId="0">
      <alignment horizontal="left" vertical="center" wrapText="1"/>
    </xf>
    <xf numFmtId="0" fontId="17" fillId="16" borderId="3" applyAlignment="1" pivotButton="0" quotePrefix="0" xfId="0">
      <alignment horizontal="left" vertical="center" wrapText="1"/>
    </xf>
    <xf numFmtId="0" fontId="6" fillId="15" borderId="3" applyAlignment="1" pivotButton="0" quotePrefix="0" xfId="0">
      <alignment horizontal="center" vertical="center" wrapText="1"/>
    </xf>
    <xf numFmtId="3" fontId="14" fillId="16" borderId="3" applyAlignment="1" pivotButton="0" quotePrefix="0" xfId="0">
      <alignment horizontal="left" vertical="center" wrapText="1"/>
    </xf>
    <xf numFmtId="0" fontId="6" fillId="13" borderId="3" applyAlignment="1" pivotButton="0" quotePrefix="0" xfId="0">
      <alignment horizontal="center" vertical="center" wrapText="1"/>
    </xf>
    <xf numFmtId="3" fontId="14" fillId="14" borderId="3" applyAlignment="1" pivotButton="0" quotePrefix="0" xfId="0">
      <alignment horizontal="left" vertical="center" wrapText="1"/>
    </xf>
    <xf numFmtId="0" fontId="6" fillId="9" borderId="3" applyAlignment="1" pivotButton="0" quotePrefix="0" xfId="0">
      <alignment horizontal="center" vertical="center" wrapText="1"/>
    </xf>
    <xf numFmtId="3" fontId="14" fillId="10" borderId="3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center" vertical="center" wrapText="1"/>
    </xf>
    <xf numFmtId="3" fontId="14" fillId="6" borderId="3" applyAlignment="1" pivotButton="0" quotePrefix="0" xfId="0">
      <alignment horizontal="left" vertical="center" wrapText="1"/>
    </xf>
    <xf numFmtId="0" fontId="6" fillId="11" borderId="3" applyAlignment="1" pivotButton="0" quotePrefix="0" xfId="0">
      <alignment horizontal="center" vertical="center" wrapText="1"/>
    </xf>
    <xf numFmtId="3" fontId="14" fillId="12" borderId="3" applyAlignment="1" pivotButton="0" quotePrefix="0" xfId="0">
      <alignment horizontal="left" vertical="center" wrapText="1"/>
    </xf>
    <xf numFmtId="0" fontId="6" fillId="8" borderId="3" applyAlignment="1" pivotButton="0" quotePrefix="0" xfId="0">
      <alignment horizontal="center" vertical="center" wrapText="1"/>
    </xf>
    <xf numFmtId="0" fontId="18" fillId="7" borderId="3" applyAlignment="1" pivotButton="0" quotePrefix="0" xfId="0">
      <alignment horizontal="center" vertical="center" wrapText="1"/>
    </xf>
    <xf numFmtId="3" fontId="14" fillId="7" borderId="3" applyAlignment="1" pivotButton="0" quotePrefix="0" xfId="0">
      <alignment horizontal="left" vertical="center" wrapText="1"/>
    </xf>
    <xf numFmtId="0" fontId="18" fillId="12" borderId="3" applyAlignment="1" pivotButton="0" quotePrefix="0" xfId="0">
      <alignment horizontal="center" vertical="center" wrapText="1"/>
    </xf>
    <xf numFmtId="0" fontId="18" fillId="14" borderId="3" applyAlignment="1" pivotButton="0" quotePrefix="0" xfId="0">
      <alignment horizontal="center" vertical="center" wrapText="1"/>
    </xf>
    <xf numFmtId="0" fontId="18" fillId="10" borderId="3" applyAlignment="1" pivotButton="0" quotePrefix="0" xfId="0">
      <alignment horizontal="center" vertical="center" wrapText="1"/>
    </xf>
    <xf numFmtId="0" fontId="18" fillId="16" borderId="3" applyAlignment="1" pivotButton="0" quotePrefix="0" xfId="0">
      <alignment horizontal="center" vertical="center" wrapText="1"/>
    </xf>
    <xf numFmtId="0" fontId="14" fillId="6" borderId="3" applyAlignment="1" pivotButton="0" quotePrefix="0" xfId="0">
      <alignment horizontal="center" vertical="center" wrapText="1"/>
    </xf>
    <xf numFmtId="0" fontId="14" fillId="7" borderId="3" applyAlignment="1" pivotButton="0" quotePrefix="0" xfId="0">
      <alignment horizontal="center" vertical="center" wrapText="1"/>
    </xf>
    <xf numFmtId="0" fontId="14" fillId="12" borderId="3" applyAlignment="1" pivotButton="0" quotePrefix="0" xfId="0">
      <alignment horizontal="center" vertical="center" wrapText="1"/>
    </xf>
    <xf numFmtId="0" fontId="14" fillId="14" borderId="3" applyAlignment="1" pivotButton="0" quotePrefix="0" xfId="0">
      <alignment horizontal="center" vertical="center" wrapText="1"/>
    </xf>
    <xf numFmtId="0" fontId="14" fillId="16" borderId="3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3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IP Core Resource Totals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'Resource Summary'!E2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'Resource Summary'!$A$3:$A$8</f>
            </numRef>
          </cat>
          <val>
            <numRef>
              <f>'Resource Summary'!$E$3:$E$8</f>
            </numRef>
          </val>
        </ser>
        <ser>
          <idx val="1"/>
          <order val="1"/>
          <tx>
            <strRef>
              <f>'Resource Summary'!G2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'Resource Summary'!$A$3:$A$8</f>
            </numRef>
          </cat>
          <val>
            <numRef>
              <f>'Resource Summary'!$G$3:$G$8</f>
            </numRef>
          </val>
        </ser>
        <ser>
          <idx val="2"/>
          <order val="2"/>
          <tx>
            <strRef>
              <f>'Resource Summary'!I2</f>
            </strRef>
          </tx>
          <spPr>
            <a:ln xmlns:a="http://schemas.openxmlformats.org/drawingml/2006/main">
              <a:prstDash val="solid"/>
            </a:ln>
          </spPr>
          <cat>
            <numRef>
              <f>'Resource Summary'!$A$3:$A$8</f>
            </numRef>
          </cat>
          <val>
            <numRef>
              <f>'Resource Summary'!$I$3:$I$8</f>
            </numRef>
          </val>
        </ser>
        <ser>
          <idx val="3"/>
          <order val="3"/>
          <tx>
            <strRef>
              <f>'Resource Summary'!K2</f>
            </strRef>
          </tx>
          <spPr>
            <a:ln xmlns:a="http://schemas.openxmlformats.org/drawingml/2006/main">
              <a:prstDash val="solid"/>
            </a:ln>
          </spPr>
          <cat>
            <numRef>
              <f>'Resource Summary'!$A$3:$A$8</f>
            </numRef>
          </cat>
          <val>
            <numRef>
              <f>'Resource Summary'!$K$3:$K$8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Resource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30" customWidth="1" min="3" max="3"/>
    <col width="12" customWidth="1" min="4" max="4"/>
    <col width="8" customWidth="1" min="5" max="5"/>
    <col width="24" customWidth="1" min="6" max="6"/>
    <col width="8" customWidth="1" min="7" max="7"/>
    <col width="8" customWidth="1" min="8" max="8"/>
    <col width="7" customWidth="1" min="9" max="9"/>
    <col width="8" customWidth="1" min="10" max="10"/>
    <col width="36" customWidth="1" min="11" max="11"/>
    <col width="22" customWidth="1" min="12" max="12"/>
    <col width="14" customWidth="1" min="13" max="13"/>
  </cols>
  <sheetData>
    <row r="1" ht="28" customHeight="1">
      <c r="A1" s="1" t="inlineStr">
        <is>
          <t>Convergence MVP FPGA — Complete Reusable IP Core Catalog</t>
        </is>
      </c>
    </row>
    <row r="2" ht="14" customHeight="1">
      <c r="A2" s="2" t="inlineStr">
        <is>
          <t>AI-generated = RTL generated by Claude AI  |  Xilinx IP = Vivado IP Catalog  |  Sources: P-2.1 PID, P-2.2 KF7, P-2.3 EKF9, P-2.5 CORDIC, P-2.6 Quat, APF spec, Bus spec, Clk spec, AXI reg map</t>
        </is>
      </c>
    </row>
    <row r="3" ht="14" customHeight="1">
      <c r="A3" s="3" t="inlineStr">
        <is>
          <t>Total cores: 45  |  Total instances: 208  |  AI-generated: 39  |  Xilinx IP/Primitive: 6</t>
        </is>
      </c>
    </row>
    <row r="4" ht="38" customHeight="1">
      <c r="A4" s="4" t="inlineStr">
        <is>
          <t>Core Name</t>
        </is>
      </c>
      <c r="B4" s="4" t="inlineStr">
        <is>
          <t>Cat</t>
        </is>
      </c>
      <c r="C4" s="4" t="inlineStr">
        <is>
          <t>Function</t>
        </is>
      </c>
      <c r="D4" s="4" t="inlineStr">
        <is>
          <t>Source</t>
        </is>
      </c>
      <c r="E4" s="4" t="inlineStr">
        <is>
          <t>Inst</t>
        </is>
      </c>
      <c r="F4" s="4" t="inlineStr">
        <is>
          <t>Parameters</t>
        </is>
      </c>
      <c r="G4" s="4" t="inlineStr">
        <is>
          <t>LUT</t>
        </is>
      </c>
      <c r="H4" s="4" t="inlineStr">
        <is>
          <t>FF</t>
        </is>
      </c>
      <c r="I4" s="4" t="inlineStr">
        <is>
          <t>DSP</t>
        </is>
      </c>
      <c r="J4" s="4" t="inlineStr">
        <is>
          <t>BRAM</t>
        </is>
      </c>
      <c r="K4" s="4" t="inlineStr">
        <is>
          <t>Key Ports</t>
        </is>
      </c>
      <c r="L4" s="4" t="inlineStr">
        <is>
          <t>Prompt Reference</t>
        </is>
      </c>
      <c r="M4" s="4" t="inlineStr">
        <is>
          <t>Notes</t>
        </is>
      </c>
    </row>
    <row r="5" ht="20" customHeight="1">
      <c r="A5" s="5" t="inlineStr">
        <is>
          <t>▶  PID</t>
        </is>
      </c>
    </row>
    <row r="6" ht="50" customHeight="1">
      <c r="A6" s="6" t="inlineStr">
        <is>
          <t>pid_engine</t>
        </is>
      </c>
      <c r="B6" s="7" t="inlineStr">
        <is>
          <t>PID</t>
        </is>
      </c>
      <c r="C6" s="8" t="inlineStr">
        <is>
          <t>Q4.12 fixed-point PID controller with anti-windup. Shared DSP48 block time-multiplexed across N_UAVS via TDM. Computes P + I + D terms with output saturation.</t>
        </is>
      </c>
      <c r="D6" s="9" t="inlineStr">
        <is>
          <t>AI-generated (P-2.1)</t>
        </is>
      </c>
      <c r="E6" s="10" t="n">
        <v>1</v>
      </c>
      <c r="F6" s="11" t="inlineStr">
        <is>
          <t>DATA_W=32 | COEFF_W=16 | GAIN_INT=4 | GAIN_FRAC=12 | N_AXES=6 | SHARED=1 | TDM_SLOTS=3 | ANTI_WINDUP=1</t>
        </is>
      </c>
      <c r="G6" s="12" t="n">
        <v>120</v>
      </c>
      <c r="H6" s="12" t="n">
        <v>160</v>
      </c>
      <c r="I6" s="12" t="n">
        <v>4</v>
      </c>
      <c r="J6" s="13" t="n">
        <v>0</v>
      </c>
      <c r="K6" s="11" t="inlineStr">
        <is>
          <t>clk, rst_n, ce_1khz, ce_100hz, error_in[31:0], kp_in[15:0], ki_in[15:0], kd_in[15:0], pid_out[31:0], sat_flags[1:0]</t>
        </is>
      </c>
      <c r="L6" s="8" t="inlineStr">
        <is>
          <t>P-2.1 (pid_fixed_point.docx)</t>
        </is>
      </c>
      <c r="M6" s="14" t="inlineStr">
        <is>
          <t>4 DSP48: P-term (1 DSP), I-term MACC (2 DSP), D-term with pre-adder (1 DSP). Anti-windup clamps I accumulator. Used by all 3 UAVs via TDM.</t>
        </is>
      </c>
    </row>
    <row r="7" ht="50" customHeight="1">
      <c r="A7" s="6" t="inlineStr">
        <is>
          <t>pid_p_term</t>
        </is>
      </c>
      <c r="B7" s="7" t="inlineStr">
        <is>
          <t>PID</t>
        </is>
      </c>
      <c r="C7" s="8" t="inlineStr">
        <is>
          <t>Proportional term sub-block: kp × error. Q4.12 × Q4.12 → Q8.24 → &gt;&gt;12 → Q4.12. 1 DSP48.</t>
        </is>
      </c>
      <c r="D7" s="9" t="inlineStr">
        <is>
          <t>AI-generated (P-2.1)</t>
        </is>
      </c>
      <c r="E7" s="10" t="n">
        <v>1</v>
      </c>
      <c r="F7" s="11" t="inlineStr">
        <is>
          <t>FMT_INT=4 | FMT_FRAC=12</t>
        </is>
      </c>
      <c r="G7" s="12" t="n">
        <v>20</v>
      </c>
      <c r="H7" s="12" t="n">
        <v>32</v>
      </c>
      <c r="I7" s="12" t="n">
        <v>1</v>
      </c>
      <c r="J7" s="13" t="n">
        <v>0</v>
      </c>
      <c r="K7" s="11" t="inlineStr">
        <is>
          <t>clk, rst_n, en, kp[15:0], error[15:0], p_out[31:0], valid</t>
        </is>
      </c>
      <c r="L7" s="8" t="inlineStr">
        <is>
          <t>P-2.1</t>
        </is>
      </c>
      <c r="M7" s="14" t="inlineStr">
        <is>
          <t>Sub-module of pid_engine. DSP48 A×B where A=kp, B=error. Pipeline reg on P-port output.</t>
        </is>
      </c>
    </row>
    <row r="8" ht="50" customHeight="1">
      <c r="A8" s="6" t="inlineStr">
        <is>
          <t>pid_i_term</t>
        </is>
      </c>
      <c r="B8" s="7" t="inlineStr">
        <is>
          <t>PID</t>
        </is>
      </c>
      <c r="C8" s="8" t="inlineStr">
        <is>
          <t>Integral term with anti-windup: ki × error accumulated into Q8.24 register. 2 DSP48 MACC configuration.</t>
        </is>
      </c>
      <c r="D8" s="9" t="inlineStr">
        <is>
          <t>AI-generated (P-2.1)</t>
        </is>
      </c>
      <c r="E8" s="10" t="n">
        <v>1</v>
      </c>
      <c r="F8" s="11" t="inlineStr">
        <is>
          <t>FMT_INT=4 | FMT_FRAC=12 | ACC_W=32</t>
        </is>
      </c>
      <c r="G8" s="12" t="n">
        <v>24</v>
      </c>
      <c r="H8" s="12" t="n">
        <v>40</v>
      </c>
      <c r="I8" s="12" t="n">
        <v>2</v>
      </c>
      <c r="J8" s="13" t="n">
        <v>0</v>
      </c>
      <c r="K8" s="11" t="inlineStr">
        <is>
          <t>clk, rst_n, en, ki[15:0], error[15:0], sat_flag, i_out[31:0], acc_out[31:0]</t>
        </is>
      </c>
      <c r="L8" s="8" t="inlineStr">
        <is>
          <t>P-2.1</t>
        </is>
      </c>
      <c r="M8" s="14" t="inlineStr">
        <is>
          <t>DSP48 MACC: P + A×B. acc holds Q8.24 integrated value. Clamp before add when sat_flag=1.</t>
        </is>
      </c>
    </row>
    <row r="9" ht="50" customHeight="1">
      <c r="A9" s="6" t="inlineStr">
        <is>
          <t>pid_d_term</t>
        </is>
      </c>
      <c r="B9" s="7" t="inlineStr">
        <is>
          <t>PID</t>
        </is>
      </c>
      <c r="C9" s="8" t="inlineStr">
        <is>
          <t>Derivative term using DSP48 pre-adder: kd_s × (error[n] - error[n-1]). Pre-scaled kd_s = Kd/Ts. 1 DSP48.</t>
        </is>
      </c>
      <c r="D9" s="9" t="inlineStr">
        <is>
          <t>AI-generated (P-2.1)</t>
        </is>
      </c>
      <c r="E9" s="10" t="n">
        <v>1</v>
      </c>
      <c r="F9" s="11" t="inlineStr">
        <is>
          <t>FMT_INT=4 | FMT_FRAC=12</t>
        </is>
      </c>
      <c r="G9" s="12" t="n">
        <v>20</v>
      </c>
      <c r="H9" s="12" t="n">
        <v>32</v>
      </c>
      <c r="I9" s="12" t="n">
        <v>1</v>
      </c>
      <c r="J9" s="13" t="n">
        <v>0</v>
      </c>
      <c r="K9" s="11" t="inlineStr">
        <is>
          <t>clk, rst_n, en, kds[15:0], error[15:0], error_prev[15:0], d_out[31:0]</t>
        </is>
      </c>
      <c r="L9" s="8" t="inlineStr">
        <is>
          <t>P-2.1</t>
        </is>
      </c>
      <c r="M9" s="14" t="inlineStr">
        <is>
          <t>Uses DSP48 pre-adder port for (error - error_prev) subtraction. No extra fabric adder needed.</t>
        </is>
      </c>
    </row>
    <row r="10" ht="50" customHeight="1">
      <c r="A10" s="6" t="inlineStr">
        <is>
          <t>rate_limiter</t>
        </is>
      </c>
      <c r="B10" s="7" t="inlineStr">
        <is>
          <t>PID</t>
        </is>
      </c>
      <c r="C10" s="8" t="inlineStr">
        <is>
          <t>Per-axis output rate limiter. Clamps delta between consecutive PID outputs. Prevents step-commands to ESC motors.</t>
        </is>
      </c>
      <c r="D10" s="9" t="inlineStr">
        <is>
          <t>AI-generated</t>
        </is>
      </c>
      <c r="E10" s="15" t="n">
        <v>6</v>
      </c>
      <c r="F10" s="11" t="inlineStr">
        <is>
          <t>FMT_INT=4 | FMT_FRAC=12 | RATE_LIM_FP=0x0200</t>
        </is>
      </c>
      <c r="G10" s="12" t="n">
        <v>6</v>
      </c>
      <c r="H10" s="12" t="n">
        <v>8</v>
      </c>
      <c r="I10" s="13" t="n">
        <v>0</v>
      </c>
      <c r="J10" s="13" t="n">
        <v>0</v>
      </c>
      <c r="K10" s="11" t="inlineStr">
        <is>
          <t>clk, rst_n, en, in[15:0], out[15:0], limited</t>
        </is>
      </c>
      <c r="L10" s="8" t="inlineStr">
        <is>
          <t>—</t>
        </is>
      </c>
      <c r="M10" s="14" t="inlineStr">
        <is>
          <t>6 instances (one per PID axis). RATE_LIM_FP is max delta per CE cycle in Q4.12.</t>
        </is>
      </c>
    </row>
    <row r="11" ht="20" customHeight="1">
      <c r="A11" s="16" t="inlineStr">
        <is>
          <t>▶  Kalman</t>
        </is>
      </c>
    </row>
    <row r="12" ht="50" customHeight="1">
      <c r="A12" s="17" t="inlineStr">
        <is>
          <t>quat_ekf_7state</t>
        </is>
      </c>
      <c r="B12" s="18" t="inlineStr">
        <is>
          <t>Kalman</t>
        </is>
      </c>
      <c r="C12" s="19" t="inlineStr">
        <is>
          <t>7-state quaternion EKF for CubeSat attitude: state=[qw,qx,qy,qz,bx,by,bz]. Fuses gyro + magnetometer. 1 DSP48, 1 BRAM18 for P-matrix.</t>
        </is>
      </c>
      <c r="D12" s="9" t="inlineStr">
        <is>
          <t>AI-generated (P-2.2)</t>
        </is>
      </c>
      <c r="E12" s="20" t="n">
        <v>3</v>
      </c>
      <c r="F12" s="21" t="inlineStr">
        <is>
          <t>STATE_W=7 | MEAS_W=3 | TS_HZ=100 | GATE_SIGMA=5 | JOSEPH_FORM=1 | DOUBLE_BUF=1</t>
        </is>
      </c>
      <c r="G12" s="22" t="n">
        <v>380</v>
      </c>
      <c r="H12" s="22" t="n">
        <v>520</v>
      </c>
      <c r="I12" s="22" t="n">
        <v>1</v>
      </c>
      <c r="J12" s="22" t="n">
        <v>1</v>
      </c>
      <c r="K12" s="21" t="inlineStr">
        <is>
          <t>clk, rst_n, ce_100hz, imu_data[95:0], mag_data[47:0], quat_out[63:0], quat_valid, ekf_converged</t>
        </is>
      </c>
      <c r="L12" s="19" t="inlineStr">
        <is>
          <t>P-2.2 (kalman_spec.docx)</t>
        </is>
      </c>
      <c r="M12" s="23" t="inlineStr">
        <is>
          <t>3 instances (CS1/2/3). P-matrix = 7×7 = 49 elements × 4B = 196B in BRAM18. Joseph form for numerical stability. NR quaternion normalization (4 iterations).</t>
        </is>
      </c>
    </row>
    <row r="13" ht="50" customHeight="1">
      <c r="A13" s="17" t="inlineStr">
        <is>
          <t>ekf_9state_navigator</t>
        </is>
      </c>
      <c r="B13" s="18" t="inlineStr">
        <is>
          <t>Kalman</t>
        </is>
      </c>
      <c r="C13" s="19" t="inlineStr">
        <is>
          <t>9-state EKF for UAV navigation: [px,py,pz,vx,vy,vz,roll,pitch,yaw]. Fuses GPS+Baro+IMU. 3 DSP48, 1 BRAM18.</t>
        </is>
      </c>
      <c r="D13" s="9" t="inlineStr">
        <is>
          <t>AI-generated (P-2.3)</t>
        </is>
      </c>
      <c r="E13" s="20" t="n">
        <v>3</v>
      </c>
      <c r="F13" s="21" t="inlineStr">
        <is>
          <t>STATE_W=9 | EKF_GPS_MEAS_N=5 | POS_FMT=Q10.22 | VEL_FMT=Q4.28 | TS_HZ=100 | JOSEPH_FORM=1</t>
        </is>
      </c>
      <c r="G13" s="22" t="n">
        <v>360</v>
      </c>
      <c r="H13" s="22" t="n">
        <v>480</v>
      </c>
      <c r="I13" s="22" t="n">
        <v>3</v>
      </c>
      <c r="J13" s="22" t="n">
        <v>1</v>
      </c>
      <c r="K13" s="21" t="inlineStr">
        <is>
          <t>clk, rst_n, ce_100hz, imu[95:0], gps_pos[95:0], gps_vel[63:0], baro_alt[31:0], gps_valid, nav_state[287:0], ekf_valid</t>
        </is>
      </c>
      <c r="L13" s="19" t="inlineStr">
        <is>
          <t>P-2.3 (ekf9_spec.docx)</t>
        </is>
      </c>
      <c r="M13" s="23" t="inlineStr">
        <is>
          <t>3 instances (UAV1/2/3). F Jacobian 9×9 sparse (28 nonzeros). H_GPS extracts 5 states (0 DSP). CORDIC outputs feed rotation matrix.</t>
        </is>
      </c>
    </row>
    <row r="14" ht="50" customHeight="1">
      <c r="A14" s="17" t="inlineStr">
        <is>
          <t>multi_vehicle_kalman</t>
        </is>
      </c>
      <c r="B14" s="18" t="inlineStr">
        <is>
          <t>Kalman</t>
        </is>
      </c>
      <c r="C14" s="19" t="inlineStr">
        <is>
          <t>36-state joint fleet Kalman filter: 6 vehicles × [px,py,pz,vx,vy,vz]. Block-diagonal P-matrix. 4 DSP48, 2 BRAM18.</t>
        </is>
      </c>
      <c r="D14" s="9" t="inlineStr">
        <is>
          <t>AI-generated (CVG spec)</t>
        </is>
      </c>
      <c r="E14" s="24" t="n">
        <v>1</v>
      </c>
      <c r="F14" s="21" t="inlineStr">
        <is>
          <t>STATE_W=36 | N_VEHICLES=6 | MEAS_W=3 | TS_HZ=10 | JOSEPH_FORM=0 | DOUBLE_BUF=1</t>
        </is>
      </c>
      <c r="G14" s="22" t="n">
        <v>480</v>
      </c>
      <c r="H14" s="22" t="n">
        <v>640</v>
      </c>
      <c r="I14" s="22" t="n">
        <v>4</v>
      </c>
      <c r="J14" s="22" t="n">
        <v>2</v>
      </c>
      <c r="K14" s="21" t="inlineStr">
        <is>
          <t>clk, rst_n, ce_10hz, cs_orbit[3][191:0], uav_nav[3][287:0], isl_rx[3][63:0], joint_state[575:0], data_ready</t>
        </is>
      </c>
      <c r="L14" s="19" t="inlineStr">
        <is>
          <t>P-2.4 (convergence_requirements.docx)</t>
        </is>
      </c>
      <c r="M14" s="23" t="inlineStr">
        <is>
          <t>Block-diagonal structure reduces ops by ~75% vs full dense P. 2 BRAM18 for double-buffered P-matrix (6×6 blocks × 6 = 36×36 total, 5184B).</t>
        </is>
      </c>
    </row>
    <row r="15" ht="50" customHeight="1">
      <c r="A15" s="17" t="inlineStr">
        <is>
          <t>ekf_covariance</t>
        </is>
      </c>
      <c r="B15" s="18" t="inlineStr">
        <is>
          <t>Kalman</t>
        </is>
      </c>
      <c r="C15" s="19" t="inlineStr">
        <is>
          <t>Shared P-matrix covariance update kernel. Joseph form: P+ = (I-KH)P(I-KH)^T + KRK^T. Used by all EKF instances.</t>
        </is>
      </c>
      <c r="D15" s="9" t="inlineStr">
        <is>
          <t>AI-generated (P-2.2)</t>
        </is>
      </c>
      <c r="E15" s="20" t="n">
        <v>4</v>
      </c>
      <c r="F15" s="21" t="inlineStr">
        <is>
          <t>N=7or9or36 | JOSEPH_FORM=1 | DOUBLE_BUF=1</t>
        </is>
      </c>
      <c r="G15" s="22" t="n">
        <v>140</v>
      </c>
      <c r="H15" s="22" t="n">
        <v>180</v>
      </c>
      <c r="I15" s="25" t="n">
        <v>0</v>
      </c>
      <c r="J15" s="22" t="n">
        <v>1</v>
      </c>
      <c r="K15" s="21" t="inlineStr">
        <is>
          <t>clk, rst_n, en, K_in[N*32-1:0], H_in[M*N*32-1:0], P_in[N*N*32-1:0], P_out[N*N*32-1:0], done</t>
        </is>
      </c>
      <c r="L15" s="19" t="inlineStr">
        <is>
          <t>P-2.2 / P-2.3</t>
        </is>
      </c>
      <c r="M15" s="23" t="inlineStr">
        <is>
          <t>4 instances: 3 for UAV EKF9, 1 for CS EKF7. MVK uses its own inline covariance. Each instance has independent BRAM18.</t>
        </is>
      </c>
    </row>
    <row r="16" ht="20" customHeight="1">
      <c r="A16" s="26" t="inlineStr">
        <is>
          <t>▶  Comms</t>
        </is>
      </c>
    </row>
    <row r="17" ht="50" customHeight="1">
      <c r="A17" s="27" t="inlineStr">
        <is>
          <t>spi_master</t>
        </is>
      </c>
      <c r="B17" s="28" t="inlineStr">
        <is>
          <t>Comms</t>
        </is>
      </c>
      <c r="C17" s="29" t="inlineStr">
        <is>
          <t>Generic SPI master controller. Configurable CPOL/CPHA (all 4 modes), programmable clock divider, variable data width 8–32 bits. Drives SPI SCK/MOSI/MISO/CS_N.</t>
        </is>
      </c>
      <c r="D17" s="9" t="inlineStr">
        <is>
          <t>AI-generated (clock_distribution.docx)</t>
        </is>
      </c>
      <c r="E17" s="30" t="n">
        <v>6</v>
      </c>
      <c r="F17" s="31" t="inlineStr">
        <is>
          <t>CLK_DIV=4 | CPOL=1 | CPHA=1 | DATA_W=8 | CS_ACTIVE_L=1 | FIFO_DEPTH=0</t>
        </is>
      </c>
      <c r="G17" s="32" t="n">
        <v>20</v>
      </c>
      <c r="H17" s="32" t="n">
        <v>32</v>
      </c>
      <c r="I17" s="33" t="n">
        <v>0</v>
      </c>
      <c r="J17" s="33" t="n">
        <v>0</v>
      </c>
      <c r="K17" s="31" t="inlineStr">
        <is>
          <t>clk(100MHz), rst_n, sck, mosi, miso, cs_n, tx_data[7:0], rx_data[7:0], start, busy, valid</t>
        </is>
      </c>
      <c r="L17" s="29" t="inlineStr">
        <is>
          <t>P-1.x (I/O Spec) + clock_distribution.docx</t>
        </is>
      </c>
      <c r="M17" s="34" t="inlineStr">
        <is>
          <t>6 instances: 3 for CS IMU (ICM-42688, mode 3, 25MHz SCK), 3 for UAV IMU (same). Barometer SPI uses separate mode 0 config. Mode 3: CPOL=1 CPHA=1.</t>
        </is>
      </c>
    </row>
    <row r="18" ht="50" customHeight="1">
      <c r="A18" s="27" t="inlineStr">
        <is>
          <t>spi_master (baro)</t>
        </is>
      </c>
      <c r="B18" s="28" t="inlineStr">
        <is>
          <t>Comms</t>
        </is>
      </c>
      <c r="C18" s="29" t="inlineStr">
        <is>
          <t>SPI master for BMP388 barometer. Mode 0 (CPOL=0, CPHA=0). 10 MHz SCK max. Reads pressure and temperature registers.</t>
        </is>
      </c>
      <c r="D18" s="9" t="inlineStr">
        <is>
          <t>AI-generated</t>
        </is>
      </c>
      <c r="E18" s="30" t="n">
        <v>3</v>
      </c>
      <c r="F18" s="31" t="inlineStr">
        <is>
          <t>CLK_DIV=10 | CPOL=0 | CPHA=0 | DATA_W=8</t>
        </is>
      </c>
      <c r="G18" s="32" t="n">
        <v>20</v>
      </c>
      <c r="H18" s="32" t="n">
        <v>32</v>
      </c>
      <c r="I18" s="33" t="n">
        <v>0</v>
      </c>
      <c r="J18" s="33" t="n">
        <v>0</v>
      </c>
      <c r="K18" s="31" t="inlineStr">
        <is>
          <t>clk(100MHz), rst_n, sck, mosi, miso, cs_n, altitude_out[31:0], baro_valid</t>
        </is>
      </c>
      <c r="L18" s="29" t="inlineStr">
        <is>
          <t>P-1.x (UAV Req)</t>
        </is>
      </c>
      <c r="M18" s="34" t="inlineStr">
        <is>
          <t>3 instances (UAV1/2/3). Reuses spi_master module with different parameters. 10MHz SCK = CLK_DIV=10.</t>
        </is>
      </c>
    </row>
    <row r="19" ht="50" customHeight="1">
      <c r="A19" s="27" t="inlineStr">
        <is>
          <t>i2c_master</t>
        </is>
      </c>
      <c r="B19" s="28" t="inlineStr">
        <is>
          <t>Comms</t>
        </is>
      </c>
      <c r="C19" s="29" t="inlineStr">
        <is>
          <t>Generic I2C master. Open-drain SDA/SCL with clock-stretching support. 400kHz fast-mode. Generates START/STOP/ACK/NACK sequences.</t>
        </is>
      </c>
      <c r="D19" s="9" t="inlineStr">
        <is>
          <t>AI-generated</t>
        </is>
      </c>
      <c r="E19" s="30" t="n">
        <v>3</v>
      </c>
      <c r="F19" s="31" t="inlineStr">
        <is>
          <t>CLK_HZ=50_000_000 | I2C_HZ=400_000 | CLK_DIV=125</t>
        </is>
      </c>
      <c r="G19" s="32" t="n">
        <v>48</v>
      </c>
      <c r="H19" s="32" t="n">
        <v>64</v>
      </c>
      <c r="I19" s="33" t="n">
        <v>0</v>
      </c>
      <c r="J19" s="33" t="n">
        <v>0</v>
      </c>
      <c r="K19" s="31" t="inlineStr">
        <is>
          <t>clk, rst_n, sda(inout), scl, addr[6:0], tx_data[7:0], rx_data[7:0], rw, start, done, ack_err</t>
        </is>
      </c>
      <c r="L19" s="29" t="inlineStr">
        <is>
          <t>—</t>
        </is>
      </c>
      <c r="M19" s="34" t="inlineStr">
        <is>
          <t>3 instances (CS1/2/3) for HMC5883L/IST8310 magnetometer. SDA is bidirectional open-drain.</t>
        </is>
      </c>
    </row>
    <row r="20" ht="50" customHeight="1">
      <c r="A20" s="27" t="inlineStr">
        <is>
          <t>uart_rx</t>
        </is>
      </c>
      <c r="B20" s="28" t="inlineStr">
        <is>
          <t>Comms</t>
        </is>
      </c>
      <c r="C20" s="29" t="inlineStr">
        <is>
          <t>8N1 UART receiver with oversampling ×16. Detects START bit, samples at mid-bit, validates STOP bit. Outputs 8-bit parallel data.</t>
        </is>
      </c>
      <c r="D20" s="9" t="inlineStr">
        <is>
          <t>AI-generated</t>
        </is>
      </c>
      <c r="E20" s="30" t="n">
        <v>12</v>
      </c>
      <c r="F20" s="31" t="inlineStr">
        <is>
          <t>CLK_HZ=50_000_000 | BAUD=9600or115200</t>
        </is>
      </c>
      <c r="G20" s="32" t="n">
        <v>16</v>
      </c>
      <c r="H20" s="32" t="n">
        <v>24</v>
      </c>
      <c r="I20" s="33" t="n">
        <v>0</v>
      </c>
      <c r="J20" s="33" t="n">
        <v>0</v>
      </c>
      <c r="K20" s="31" t="inlineStr">
        <is>
          <t>clk, rst_n, rx, data_out[7:0], valid, frame_err, parity_err</t>
        </is>
      </c>
      <c r="L20" s="29" t="inlineStr">
        <is>
          <t>bus_spec.docx / UAV Req</t>
        </is>
      </c>
      <c r="M20" s="34" t="inlineStr">
        <is>
          <t>12 instances: 3×GPS RX (9600 baud), 3×MAVLink GCS RX (115200), 3×GS uplink RX (115200), 3×ISL debug. BAUD parameter sets baud-rate divider.</t>
        </is>
      </c>
    </row>
    <row r="21" ht="50" customHeight="1">
      <c r="A21" s="27" t="inlineStr">
        <is>
          <t>uart_tx</t>
        </is>
      </c>
      <c r="B21" s="28" t="inlineStr">
        <is>
          <t>Comms</t>
        </is>
      </c>
      <c r="C21" s="29" t="inlineStr">
        <is>
          <t>8N1 UART transmitter. Serialises 8-bit data at programmable baud rate. TX FIFO (optional, configurable depth).</t>
        </is>
      </c>
      <c r="D21" s="9" t="inlineStr">
        <is>
          <t>AI-generated</t>
        </is>
      </c>
      <c r="E21" s="30" t="n">
        <v>9</v>
      </c>
      <c r="F21" s="31" t="inlineStr">
        <is>
          <t>CLK_HZ=50_000_000 | BAUD=115200 | FIFO_DEPTH=4</t>
        </is>
      </c>
      <c r="G21" s="32" t="n">
        <v>16</v>
      </c>
      <c r="H21" s="32" t="n">
        <v>24</v>
      </c>
      <c r="I21" s="33" t="n">
        <v>0</v>
      </c>
      <c r="J21" s="33" t="n">
        <v>0</v>
      </c>
      <c r="K21" s="31" t="inlineStr">
        <is>
          <t>clk, rst_n, data_in[7:0], start, tx, busy, done</t>
        </is>
      </c>
      <c r="L21" s="29" t="inlineStr">
        <is>
          <t>bus_spec.docx</t>
        </is>
      </c>
      <c r="M21" s="34" t="inlineStr">
        <is>
          <t>9 instances: 3×MAVLink TX, 3×GPS config TX, 3×GS downlink (multiplexed via TLM MUX).</t>
        </is>
      </c>
    </row>
    <row r="22" ht="50" customHeight="1">
      <c r="A22" s="27" t="inlineStr">
        <is>
          <t>mavlink_v2_stack</t>
        </is>
      </c>
      <c r="B22" s="28" t="inlineStr">
        <is>
          <t>Comms</t>
        </is>
      </c>
      <c r="C22" s="29" t="inlineStr">
        <is>
          <t>Complete MAVLink v2 protocol stack. STX=0xFD framing, CRC-16/MCRF4XX, message parsing and emission. HEARTBEAT, ATTITUDE, POSITION, COMMAND messages.</t>
        </is>
      </c>
      <c r="D22" s="9" t="inlineStr">
        <is>
          <t>AI-generated (UAV Req / module_hierarchy.docx)</t>
        </is>
      </c>
      <c r="E22" s="30" t="n">
        <v>3</v>
      </c>
      <c r="F22" s="31" t="inlineStr">
        <is>
          <t>SYSID=1+UAV_ID | COMPID=1 | BAUD=115200 | MAX_MSG_LEN=280</t>
        </is>
      </c>
      <c r="G22" s="32" t="n">
        <v>200</v>
      </c>
      <c r="H22" s="32" t="n">
        <v>280</v>
      </c>
      <c r="I22" s="33" t="n">
        <v>0</v>
      </c>
      <c r="J22" s="32" t="n">
        <v>1</v>
      </c>
      <c r="K22" s="31" t="inlineStr">
        <is>
          <t>clk, rst_n, uart_rx, uart_tx, heartbeat_valid, attitude_in[287:0], position_in[287:0], cmd_out[31:0], arm_req, disarm_req</t>
        </is>
      </c>
      <c r="L22" s="29" t="inlineStr">
        <is>
          <t>uav_requirements.docx</t>
        </is>
      </c>
      <c r="M22" s="34" t="inlineStr">
        <is>
          <t>3 instances (UAV1/2/3). 1 BRAM18 for TX FIFO + RX buffer. CRC16 computed inline using crc16_mcrf4xx sub-core.</t>
        </is>
      </c>
    </row>
    <row r="23" ht="50" customHeight="1">
      <c r="A23" s="27" t="inlineStr">
        <is>
          <t>gps_nmea_parser</t>
        </is>
      </c>
      <c r="B23" s="28" t="inlineStr">
        <is>
          <t>Comms</t>
        </is>
      </c>
      <c r="C23" s="29" t="inlineStr">
        <is>
          <t>NMEA 0183 sentence parser for NEO-M9N GPS. Parses GGA (position/altitude) and VTG (velocity) sentences. Outputs fixed-point NED coordinates.</t>
        </is>
      </c>
      <c r="D23" s="9" t="inlineStr">
        <is>
          <t>AI-generated (UAV Req)</t>
        </is>
      </c>
      <c r="E23" s="30" t="n">
        <v>3</v>
      </c>
      <c r="F23" s="31" t="inlineStr">
        <is>
          <t>BAUD=9600 | BUF_DEPTH=128 | FMT=Q10.22</t>
        </is>
      </c>
      <c r="G23" s="32" t="n">
        <v>50</v>
      </c>
      <c r="H23" s="32" t="n">
        <v>68</v>
      </c>
      <c r="I23" s="33" t="n">
        <v>0</v>
      </c>
      <c r="J23" s="33" t="n">
        <v>0</v>
      </c>
      <c r="K23" s="31" t="inlineStr">
        <is>
          <t>clk, rst_n, uart_rx, gps_pps, pos_out[95:0], vel_out[63:0], fix_valid, sats_in_view[3:0]</t>
        </is>
      </c>
      <c r="L23" s="29" t="inlineStr">
        <is>
          <t>uav_requirements.docx</t>
        </is>
      </c>
      <c r="M23" s="34" t="inlineStr">
        <is>
          <t>3 instances (UAV1/2/3). Sentence buffer in LUT-RAM (&lt;128B). GGA: lat/lon/alt. VTG: vN/vE. PPS signal used for 10Hz timing.</t>
        </is>
      </c>
    </row>
    <row r="24" ht="50" customHeight="1">
      <c r="A24" s="27" t="inlineStr">
        <is>
          <t>isl_parallel_tx</t>
        </is>
      </c>
      <c r="B24" s="28" t="inlineStr">
        <is>
          <t>Comms</t>
        </is>
      </c>
      <c r="C24" s="29" t="inlineStr">
        <is>
          <t>8-bit parallel optical inter-satellite link transmitter. ODDR-based double-data-rate output. Driven by CCSDS telemetry encoder.</t>
        </is>
      </c>
      <c r="D24" s="9" t="inlineStr">
        <is>
          <t>AI-generated (CS Req / block_diagram.docx)</t>
        </is>
      </c>
      <c r="E24" s="30" t="n">
        <v>3</v>
      </c>
      <c r="F24" s="31" t="inlineStr">
        <is>
          <t>DATA_W=8 | USE_ODDR=1 | RATE_MBPS=10</t>
        </is>
      </c>
      <c r="G24" s="32" t="n">
        <v>16</v>
      </c>
      <c r="H24" s="32" t="n">
        <v>24</v>
      </c>
      <c r="I24" s="33" t="n">
        <v>0</v>
      </c>
      <c r="J24" s="33" t="n">
        <v>0</v>
      </c>
      <c r="K24" s="31" t="inlineStr">
        <is>
          <t>clk, rst_n, tx_data[7:0], tx_valid, isl_data[7:0], isl_clk, isl_valid</t>
        </is>
      </c>
      <c r="L24" s="29" t="inlineStr">
        <is>
          <t>—</t>
        </is>
      </c>
      <c r="M24" s="34" t="inlineStr">
        <is>
          <t>3 instances (CS1/2/3). 8 ODDR primitives per instance. Bank 35 output pins.</t>
        </is>
      </c>
    </row>
    <row r="25" ht="50" customHeight="1">
      <c r="A25" s="27" t="inlineStr">
        <is>
          <t>isl_parallel_rx</t>
        </is>
      </c>
      <c r="B25" s="28" t="inlineStr">
        <is>
          <t>Comms</t>
        </is>
      </c>
      <c r="C25" s="29" t="inlineStr">
        <is>
          <t>8-bit parallel optical ISL receiver for Convergence Engine. IDDR-based capture. Receives CubeSat telemetry for MVK fusion.</t>
        </is>
      </c>
      <c r="D25" s="9" t="inlineStr">
        <is>
          <t>AI-generated (CVG Req)</t>
        </is>
      </c>
      <c r="E25" s="30" t="n">
        <v>3</v>
      </c>
      <c r="F25" s="31" t="inlineStr">
        <is>
          <t>DATA_W=8 | SYNC_STAGES=2</t>
        </is>
      </c>
      <c r="G25" s="32" t="n">
        <v>24</v>
      </c>
      <c r="H25" s="32" t="n">
        <v>36</v>
      </c>
      <c r="I25" s="33" t="n">
        <v>0</v>
      </c>
      <c r="J25" s="33" t="n">
        <v>0</v>
      </c>
      <c r="K25" s="31" t="inlineStr">
        <is>
          <t>clk_100mhz, rst_100_n, isl_rx_data[7:0], isl_rx_clk, rx_data[7:0], rx_valid</t>
        </is>
      </c>
      <c r="L25" s="29" t="inlineStr">
        <is>
          <t>—</t>
        </is>
      </c>
      <c r="M25" s="34" t="inlineStr">
        <is>
          <t>3 instances in CVG engine. 8 IDDR primitives each. CRC checked before passing to MVK.</t>
        </is>
      </c>
    </row>
    <row r="26" ht="50" customHeight="1">
      <c r="A26" s="27" t="inlineStr">
        <is>
          <t>ccsds_telemetry_encoder</t>
        </is>
      </c>
      <c r="B26" s="28" t="inlineStr">
        <is>
          <t>Comms</t>
        </is>
      </c>
      <c r="C26" s="29" t="inlineStr">
        <is>
          <t>CCSDS-compliant telemetry frame encoder. Adds SYNC 0x1ACFFC1D, primary/secondary headers, and CRC-16/CCITT. APID 0x101–0x103 for CS telemetry.</t>
        </is>
      </c>
      <c r="D26" s="9" t="inlineStr">
        <is>
          <t>AI-generated (CS Req)</t>
        </is>
      </c>
      <c r="E26" s="30" t="n">
        <v>3</v>
      </c>
      <c r="F26" s="31" t="inlineStr">
        <is>
          <t>SYNC=0x1ACFFC1D | CRC_POLY=0x1021 | APID_BASE=0x101</t>
        </is>
      </c>
      <c r="G26" s="32" t="n">
        <v>120</v>
      </c>
      <c r="H26" s="32" t="n">
        <v>160</v>
      </c>
      <c r="I26" s="33" t="n">
        <v>0</v>
      </c>
      <c r="J26" s="33" t="n">
        <v>0</v>
      </c>
      <c r="K26" s="31" t="inlineStr">
        <is>
          <t>clk, rst_n, ce_1hz, adcs_data[127:0], orbit_data[191:0], laser_data[31:0], uart_tx, isl_tx_data[7:0], frame_valid</t>
        </is>
      </c>
      <c r="L26" s="29" t="inlineStr">
        <is>
          <t>—</t>
        </is>
      </c>
      <c r="M26" s="34" t="inlineStr">
        <is>
          <t>3 instances. Contains crc16_ccitt and superframe_arbiter sub-modules.</t>
        </is>
      </c>
    </row>
    <row r="27" ht="20" customHeight="1">
      <c r="A27" s="35" t="inlineStr">
        <is>
          <t>▶  Math</t>
        </is>
      </c>
    </row>
    <row r="28" ht="50" customHeight="1">
      <c r="A28" s="36" t="inlineStr">
        <is>
          <t>cordic_sincos</t>
        </is>
      </c>
      <c r="B28" s="37" t="inlineStr">
        <is>
          <t>Math</t>
        </is>
      </c>
      <c r="C28" s="38" t="inlineStr">
        <is>
          <t>16-stage pipelined CORDIC for sin/cos (rotation mode) and atan2/magnitude (vectoring mode). Zero DSP48. 1 result/cycle throughput.</t>
        </is>
      </c>
      <c r="D28" s="9" t="inlineStr">
        <is>
          <t>AI-generated (P-2.5 / cordic_spec.docx)</t>
        </is>
      </c>
      <c r="E28" s="39" t="n">
        <v>1</v>
      </c>
      <c r="F28" s="40" t="inlineStr">
        <is>
          <t>N_ITER=16 | DATA_W=18 | FMT=Q1.15 | PIPELINE=1 | MODE=BOTH</t>
        </is>
      </c>
      <c r="G28" s="41" t="n">
        <v>200</v>
      </c>
      <c r="H28" s="41" t="n">
        <v>1056</v>
      </c>
      <c r="I28" s="42" t="n">
        <v>0</v>
      </c>
      <c r="J28" s="42" t="n">
        <v>0</v>
      </c>
      <c r="K28" s="40" t="inlineStr">
        <is>
          <t>clk, rst_n, mode_sel, theta_in[17:0], sin_out[17:0], cos_out[17:0], mag_out[17:0], atan_out[17:0], valid_out</t>
        </is>
      </c>
      <c r="L28" s="38" t="inlineStr">
        <is>
          <t>P-2.5 (cordic_spec.docx)</t>
        </is>
      </c>
      <c r="M28" s="43" t="inlineStr">
        <is>
          <t>Shared 1 instance TDM'd across all EKF rotation matrices. 0 DSP48 always. 16 iterations = &lt;1 LSB Q1.15 error. Latency = 17 cycles.</t>
        </is>
      </c>
    </row>
    <row r="29" ht="50" customHeight="1">
      <c r="A29" s="36" t="inlineStr">
        <is>
          <t>nr_inv_sqrt</t>
        </is>
      </c>
      <c r="B29" s="37" t="inlineStr">
        <is>
          <t>Math</t>
        </is>
      </c>
      <c r="C29" s="38" t="inlineStr">
        <is>
          <t>Newton-Raphson inverse square root. 1 NR iteration from 8-bit LUT seed (256 entries). Used by APF d² → 1/d computation and quaternion normalization.</t>
        </is>
      </c>
      <c r="D29" s="9" t="inlineStr">
        <is>
          <t>AI-generated (APF spec)</t>
        </is>
      </c>
      <c r="E29" s="39" t="n">
        <v>1</v>
      </c>
      <c r="F29" s="40" t="inlineStr">
        <is>
          <t>N_ITER=1 | FMT=Q1.30 | LUT_W=16 | LUT_DEPTH=256</t>
        </is>
      </c>
      <c r="G29" s="41" t="n">
        <v>48</v>
      </c>
      <c r="H29" s="41" t="n">
        <v>64</v>
      </c>
      <c r="I29" s="41" t="n">
        <v>3</v>
      </c>
      <c r="J29" s="41" t="n">
        <v>1</v>
      </c>
      <c r="K29" s="40" t="inlineStr">
        <is>
          <t>clk, rst_n, en, x_in[31:0], inv_sqrt_out[31:0], valid_out</t>
        </is>
      </c>
      <c r="L29" s="38" t="inlineStr">
        <is>
          <t>APF spec (apf_spec.docx)</t>
        </is>
      </c>
      <c r="M29" s="43" t="inlineStr">
        <is>
          <t>1 NR iteration gives ~14-bit accuracy (vs 8-bit LUT seed). 3 DSP48 for NR multiply chain. BRAM18 for 256-entry seed LUT.</t>
        </is>
      </c>
    </row>
    <row r="30" ht="50" customHeight="1">
      <c r="A30" s="36" t="inlineStr">
        <is>
          <t>quat_multiply</t>
        </is>
      </c>
      <c r="B30" s="37" t="inlineStr">
        <is>
          <t>Math</t>
        </is>
      </c>
      <c r="C30" s="38" t="inlineStr">
        <is>
          <t>Hamilton product of two Q1.15 quaternions. Q1.15 × Q1.15 → Q2.30 intermediate → &gt;&gt;15 → Q1.15 result. 8 signed multiplications.</t>
        </is>
      </c>
      <c r="D30" s="9" t="inlineStr">
        <is>
          <t>AI-generated (P-2.6 / quaternion_spec.docx)</t>
        </is>
      </c>
      <c r="E30" s="44" t="n">
        <v>4</v>
      </c>
      <c r="F30" s="40" t="inlineStr">
        <is>
          <t>FMT=Q1.15 | DATA_W=16</t>
        </is>
      </c>
      <c r="G30" s="41" t="n">
        <v>48</v>
      </c>
      <c r="H30" s="41" t="n">
        <v>64</v>
      </c>
      <c r="I30" s="42" t="n">
        <v>0</v>
      </c>
      <c r="J30" s="42" t="n">
        <v>0</v>
      </c>
      <c r="K30" s="40" t="inlineStr">
        <is>
          <t>clk, rst_n, en, qa[63:0], qb[63:0], qc_out[63:0], valid_out</t>
        </is>
      </c>
      <c r="L30" s="38" t="inlineStr">
        <is>
          <t>P-2.6 (quaternion_spec.docx)</t>
        </is>
      </c>
      <c r="M30" s="43" t="inlineStr">
        <is>
          <t>4 instances: 2 in CS EKF, 2 in ADCS controller. 8 multiplications via fabric (no DSP — Q1.15 × Q1.15 fits in LUT multipliers). Hamilton product: qc = qa ⊗ qb.</t>
        </is>
      </c>
    </row>
    <row r="31" ht="50" customHeight="1">
      <c r="A31" s="36" t="inlineStr">
        <is>
          <t>quat_normalize</t>
        </is>
      </c>
      <c r="B31" s="37" t="inlineStr">
        <is>
          <t>Math</t>
        </is>
      </c>
      <c r="C31" s="38" t="inlineStr">
        <is>
          <t>Quaternion normalization via Newton-Raphson 1/sqrt(|q|²). 4 NR iterations for &lt;1 LSB Q1.15 error. 16 DSP48 per instance.</t>
        </is>
      </c>
      <c r="D31" s="9" t="inlineStr">
        <is>
          <t>AI-generated (P-2.6 / quaternion_spec.docx)</t>
        </is>
      </c>
      <c r="E31" s="44" t="n">
        <v>3</v>
      </c>
      <c r="F31" s="40" t="inlineStr">
        <is>
          <t>N_ITER=4 | FMT=Q1.15</t>
        </is>
      </c>
      <c r="G31" s="41" t="n">
        <v>60</v>
      </c>
      <c r="H31" s="41" t="n">
        <v>80</v>
      </c>
      <c r="I31" s="41" t="n">
        <v>1</v>
      </c>
      <c r="J31" s="42" t="n">
        <v>0</v>
      </c>
      <c r="K31" s="40" t="inlineStr">
        <is>
          <t>clk, rst_n, en, q_in[63:0], q_norm_out[63:0], valid</t>
        </is>
      </c>
      <c r="L31" s="38" t="inlineStr">
        <is>
          <t>P-2.6</t>
        </is>
      </c>
      <c r="M31" s="43" t="inlineStr">
        <is>
          <t>3 instances (CS1/2/3 ADCS). Shares nr_inv_sqrt sub-module. Compute sequence: |q|²=sum, inv_sqrt, scale each component.</t>
        </is>
      </c>
    </row>
    <row r="32" ht="50" customHeight="1">
      <c r="A32" s="36" t="inlineStr">
        <is>
          <t>quat_conjugate</t>
        </is>
      </c>
      <c r="B32" s="37" t="inlineStr">
        <is>
          <t>Math</t>
        </is>
      </c>
      <c r="C32" s="38" t="inlineStr">
        <is>
          <t>Quaternion conjugate: q*=[qw, -qx, -qy, -qz]. Pure sign inversion — 0 DSP48. Edge case: saturate -(-1.0) in Q1.15.</t>
        </is>
      </c>
      <c r="D32" s="9" t="inlineStr">
        <is>
          <t>AI-generated (P-2.6)</t>
        </is>
      </c>
      <c r="E32" s="44" t="n">
        <v>6</v>
      </c>
      <c r="F32" s="40" t="inlineStr">
        <is>
          <t>FMT=Q1.15</t>
        </is>
      </c>
      <c r="G32" s="41" t="n">
        <v>4</v>
      </c>
      <c r="H32" s="41" t="n">
        <v>8</v>
      </c>
      <c r="I32" s="42" t="n">
        <v>0</v>
      </c>
      <c r="J32" s="42" t="n">
        <v>0</v>
      </c>
      <c r="K32" s="40" t="inlineStr">
        <is>
          <t>clk, q_in[63:0], q_conj_out[63:0]</t>
        </is>
      </c>
      <c r="L32" s="38" t="inlineStr">
        <is>
          <t>P-2.6</t>
        </is>
      </c>
      <c r="M32" s="43" t="inlineStr">
        <is>
          <t>6 instances (2 per CS subsystem). Minimal logic: 3 sign inversions with saturation check for Q1.15 min value.</t>
        </is>
      </c>
    </row>
    <row r="33" ht="50" customHeight="1">
      <c r="A33" s="36" t="inlineStr">
        <is>
          <t>crc16_ccitt</t>
        </is>
      </c>
      <c r="B33" s="37" t="inlineStr">
        <is>
          <t>Math</t>
        </is>
      </c>
      <c r="C33" s="38" t="inlineStr">
        <is>
          <t>CRC-16/CCITT parallel implementation. Polynomial 0x1021, init 0xFFFF. Processes 1 byte per clock cycle. Used for CCSDS telemetry frames.</t>
        </is>
      </c>
      <c r="D33" s="9" t="inlineStr">
        <is>
          <t>AI-generated (CS Req / ccsds_telemetry)</t>
        </is>
      </c>
      <c r="E33" s="44" t="n">
        <v>3</v>
      </c>
      <c r="F33" s="40" t="inlineStr">
        <is>
          <t>POLY=0x1021 | INIT=0xFFFF | REFIN=0 | REFOUT=0</t>
        </is>
      </c>
      <c r="G33" s="41" t="n">
        <v>32</v>
      </c>
      <c r="H33" s="41" t="n">
        <v>16</v>
      </c>
      <c r="I33" s="42" t="n">
        <v>0</v>
      </c>
      <c r="J33" s="42" t="n">
        <v>0</v>
      </c>
      <c r="K33" s="40" t="inlineStr">
        <is>
          <t>clk, rst_n, data_in[7:0], data_valid, crc_out[15:0], crc_valid</t>
        </is>
      </c>
      <c r="L33" s="38" t="inlineStr">
        <is>
          <t>—</t>
        </is>
      </c>
      <c r="M33" s="43" t="inlineStr">
        <is>
          <t>3 instances (1 per CS telemetry encoder). Bit-parallel CRC for 1-cycle/byte throughput.</t>
        </is>
      </c>
    </row>
    <row r="34" ht="50" customHeight="1">
      <c r="A34" s="36" t="inlineStr">
        <is>
          <t>crc16_mcrf4xx</t>
        </is>
      </c>
      <c r="B34" s="37" t="inlineStr">
        <is>
          <t>Math</t>
        </is>
      </c>
      <c r="C34" s="38" t="inlineStr">
        <is>
          <t>CRC-16/MCRF4XX for MAVLink v2 frames. Polynomial 0x1021, init 0x0000, bit-reversed. Compute on TX and verify on RX.</t>
        </is>
      </c>
      <c r="D34" s="9" t="inlineStr">
        <is>
          <t>AI-generated (UAV Req / mavlink_v2_stack)</t>
        </is>
      </c>
      <c r="E34" s="44" t="n">
        <v>6</v>
      </c>
      <c r="F34" s="40" t="inlineStr">
        <is>
          <t>POLY=0x1021 | INIT=0x0000 | REFIN=1 | REFOUT=1</t>
        </is>
      </c>
      <c r="G34" s="41" t="n">
        <v>32</v>
      </c>
      <c r="H34" s="41" t="n">
        <v>16</v>
      </c>
      <c r="I34" s="42" t="n">
        <v>0</v>
      </c>
      <c r="J34" s="42" t="n">
        <v>0</v>
      </c>
      <c r="K34" s="40" t="inlineStr">
        <is>
          <t>clk, rst_n, data_in[7:0], data_valid, crc_out[15:0], crc_valid</t>
        </is>
      </c>
      <c r="L34" s="38" t="inlineStr">
        <is>
          <t>—</t>
        </is>
      </c>
      <c r="M34" s="43" t="inlineStr">
        <is>
          <t>6 instances (2 per UAV: 1 RX verify, 1 TX generate). Same hardware as CRC-CCITT but different init and bit-reversal.</t>
        </is>
      </c>
    </row>
    <row r="35" ht="50" customHeight="1">
      <c r="A35" s="36" t="inlineStr">
        <is>
          <t>sgp4_kepler_solve</t>
        </is>
      </c>
      <c r="B35" s="37" t="inlineStr">
        <is>
          <t>Math</t>
        </is>
      </c>
      <c r="C35" s="38" t="inlineStr">
        <is>
          <t>SGP4 eccentric anomaly solver using Newton-Raphson (8 iterations). Solves Kepler's equation M = E - e×sin(E). 3 DSP48 for trigonometric evaluation.</t>
        </is>
      </c>
      <c r="D35" s="9" t="inlineStr">
        <is>
          <t>AI-generated (CS Req / sgp4_orbit_propagator)</t>
        </is>
      </c>
      <c r="E35" s="44" t="n">
        <v>3</v>
      </c>
      <c r="F35" s="40" t="inlineStr">
        <is>
          <t>N_ITER=8 | FMT=Q10.22 | CLK_HZ=50_000_000</t>
        </is>
      </c>
      <c r="G35" s="41" t="n">
        <v>120</v>
      </c>
      <c r="H35" s="41" t="n">
        <v>160</v>
      </c>
      <c r="I35" s="41" t="n">
        <v>3</v>
      </c>
      <c r="J35" s="42" t="n">
        <v>0</v>
      </c>
      <c r="K35" s="40" t="inlineStr">
        <is>
          <t>clk, rst_n, ce_1hz, M_in[31:0], ecc_in[31:0], E_out[31:0], done</t>
        </is>
      </c>
      <c r="L35" s="38" t="inlineStr">
        <is>
          <t>CS Req / sgp4_orbit_propagator</t>
        </is>
      </c>
      <c r="M35" s="43" t="inlineStr">
        <is>
          <t>3 instances (CS1/2/3). Uses CORDIC for sin(E) computation. 3 DSP48 for NR iteration multiply-accumulate.</t>
        </is>
      </c>
    </row>
    <row r="36" ht="50" customHeight="1">
      <c r="A36" s="36" t="inlineStr">
        <is>
          <t>rotation_matrix_build</t>
        </is>
      </c>
      <c r="B36" s="37" t="inlineStr">
        <is>
          <t>Math</t>
        </is>
      </c>
      <c r="C36" s="38" t="inlineStr">
        <is>
          <t>Builds 3×3 rotation matrix R from [roll,pitch,yaw] Euler angles using CORDIC sin/cos outputs. Q1.30 elements.</t>
        </is>
      </c>
      <c r="D36" s="9" t="inlineStr">
        <is>
          <t>AI-generated (EKF9 spec)</t>
        </is>
      </c>
      <c r="E36" s="44" t="n">
        <v>3</v>
      </c>
      <c r="F36" s="40" t="inlineStr">
        <is>
          <t>FMT=Q1.30</t>
        </is>
      </c>
      <c r="G36" s="41" t="n">
        <v>36</v>
      </c>
      <c r="H36" s="41" t="n">
        <v>48</v>
      </c>
      <c r="I36" s="42" t="n">
        <v>0</v>
      </c>
      <c r="J36" s="42" t="n">
        <v>0</v>
      </c>
      <c r="K36" s="40" t="inlineStr">
        <is>
          <t>clk, rst_n, en, sin_r[17:0], cos_r[17:0], sin_p[17:0], cos_p[17:0], sin_y[17:0], cos_y[17:0], R_out[9*32-1:0], valid</t>
        </is>
      </c>
      <c r="L36" s="38" t="inlineStr">
        <is>
          <t>—</t>
        </is>
      </c>
      <c r="M36" s="43" t="inlineStr">
        <is>
          <t>3 instances (UAV1/2/3). Combinational matrix assembly from CORDIC outputs. No DSP48 — just wire assignments and sign inversions.</t>
        </is>
      </c>
    </row>
    <row r="37" ht="20" customHeight="1">
      <c r="A37" s="45" t="inlineStr">
        <is>
          <t>▶  Utilities</t>
        </is>
      </c>
    </row>
    <row r="38" ht="50" customHeight="1">
      <c r="A38" s="46" t="inlineStr">
        <is>
          <t>async_fifo</t>
        </is>
      </c>
      <c r="B38" s="47" t="inlineStr">
        <is>
          <t>Utilities</t>
        </is>
      </c>
      <c r="C38" s="48" t="inlineStr">
        <is>
          <t>Dual-clock Gray-coded FIFO for CDC crossing. Configurable depth, data width, and synchronizer stages. Full/empty flags in respective domains.</t>
        </is>
      </c>
      <c r="D38" s="9" t="inlineStr">
        <is>
          <t>AI-generated (clock_distribution.docx / bus_spec.docx)</t>
        </is>
      </c>
      <c r="E38" s="49" t="n">
        <v>6</v>
      </c>
      <c r="F38" s="50" t="inlineStr">
        <is>
          <t>DATA_W=32 | DEPTH=16 | ADDR_W=4 | SYNC_STAGES=2</t>
        </is>
      </c>
      <c r="G38" s="51" t="n">
        <v>48</v>
      </c>
      <c r="H38" s="51" t="n">
        <v>96</v>
      </c>
      <c r="I38" s="52" t="n">
        <v>0</v>
      </c>
      <c r="J38" s="52" t="n">
        <v>0</v>
      </c>
      <c r="K38" s="50" t="inlineStr">
        <is>
          <t>wr_clk, rd_clk, wr_rst_n, rd_rst_n, wr_data[DATA_W-1:0], wr_en, rd_data[DATA_W-1:0], rd_en, empty, full</t>
        </is>
      </c>
      <c r="L38" s="48" t="inlineStr">
        <is>
          <t>clock_distribution.docx</t>
        </is>
      </c>
      <c r="M38" s="53" t="inlineStr">
        <is>
          <t>6 instances: 3 for CS IMU CDC, 3 for UAV IMU CDC. DATA_W=32 (one 32-bit IMU word). DEPTH=16 = 512b, below BRAM18 threshold — uses LUT-RAM.</t>
        </is>
      </c>
    </row>
    <row r="39" ht="50" customHeight="1">
      <c r="A39" s="46" t="inlineStr">
        <is>
          <t>sync_2ff</t>
        </is>
      </c>
      <c r="B39" s="47" t="inlineStr">
        <is>
          <t>Utilities</t>
        </is>
      </c>
      <c r="C39" s="48" t="inlineStr">
        <is>
          <t>2-stage flip-flop CDC synchronizer for single-bit signals. Meets Artix-7 MTBF requirements for 100MHz→50MHz crossing.</t>
        </is>
      </c>
      <c r="D39" s="9" t="inlineStr">
        <is>
          <t>AI-generated (clock_distribution.docx)</t>
        </is>
      </c>
      <c r="E39" s="49" t="n">
        <v>8</v>
      </c>
      <c r="F39" s="50" t="inlineStr">
        <is>
          <t>WIDTH=1 | SYNC_STAGES=2 | INIT_VAL=0</t>
        </is>
      </c>
      <c r="G39" s="52" t="n">
        <v>0</v>
      </c>
      <c r="H39" s="51" t="n">
        <v>4</v>
      </c>
      <c r="I39" s="52" t="n">
        <v>0</v>
      </c>
      <c r="J39" s="52" t="n">
        <v>0</v>
      </c>
      <c r="K39" s="50" t="inlineStr">
        <is>
          <t>clk_dst, rst_n, d_in, d_out</t>
        </is>
      </c>
      <c r="L39" s="48" t="inlineStr">
        <is>
          <t>clock_distribution.docx</t>
        </is>
      </c>
      <c r="M39" s="53" t="inlineStr">
        <is>
          <t>8 instances: 6 for spi_busy flags (one per SPI master), 2 for spi_fault. set_false_path constraint on launch FF. 4 FF each (2 stages × 2 FFs for robustness).</t>
        </is>
      </c>
    </row>
    <row r="40" ht="50" customHeight="1">
      <c r="A40" s="46" t="inlineStr">
        <is>
          <t>gray_encoder</t>
        </is>
      </c>
      <c r="B40" s="47" t="inlineStr">
        <is>
          <t>Utilities</t>
        </is>
      </c>
      <c r="C40" s="48" t="inlineStr">
        <is>
          <t>Binary-to-Gray code converter for FIFO pointer CDC. Pure combinational XOR chain. No register, no clock.</t>
        </is>
      </c>
      <c r="D40" s="9" t="inlineStr">
        <is>
          <t>AI-generated (clock_distribution.docx)</t>
        </is>
      </c>
      <c r="E40" s="49" t="n">
        <v>4</v>
      </c>
      <c r="F40" s="50" t="inlineStr">
        <is>
          <t>WIDTH=4</t>
        </is>
      </c>
      <c r="G40" s="51" t="n">
        <v>4</v>
      </c>
      <c r="H40" s="51" t="n">
        <v>4</v>
      </c>
      <c r="I40" s="52" t="n">
        <v>0</v>
      </c>
      <c r="J40" s="52" t="n">
        <v>0</v>
      </c>
      <c r="K40" s="50" t="inlineStr">
        <is>
          <t>bin_in[WIDTH-1:0], gray_out[WIDTH-1:0]</t>
        </is>
      </c>
      <c r="L40" s="48" t="inlineStr">
        <is>
          <t>—</t>
        </is>
      </c>
      <c r="M40" s="53" t="inlineStr">
        <is>
          <t>4 instances (2 per async_fifo instance, one for write pointer, one for read). Purely combinational XOR: gray[i] = bin[i] ^ bin[i+1].</t>
        </is>
      </c>
    </row>
    <row r="41" ht="50" customHeight="1">
      <c r="A41" s="46" t="inlineStr">
        <is>
          <t>reset_sync</t>
        </is>
      </c>
      <c r="B41" s="47" t="inlineStr">
        <is>
          <t>Utilities</t>
        </is>
      </c>
      <c r="C41" s="48" t="inlineStr">
        <is>
          <t>Async-assert / synchronous-deassert reset synchronizer. N-stage FF chain. Async preset on rst_async_n=0, synchronous deassert after N cycles.</t>
        </is>
      </c>
      <c r="D41" s="9" t="inlineStr">
        <is>
          <t>AI-generated (clock_distribution.docx)</t>
        </is>
      </c>
      <c r="E41" s="49" t="n">
        <v>2</v>
      </c>
      <c r="F41" s="50" t="inlineStr">
        <is>
          <t>N_STAGES=4</t>
        </is>
      </c>
      <c r="G41" s="52" t="n">
        <v>0</v>
      </c>
      <c r="H41" s="51" t="n">
        <v>4</v>
      </c>
      <c r="I41" s="52" t="n">
        <v>0</v>
      </c>
      <c r="J41" s="52" t="n">
        <v>0</v>
      </c>
      <c r="K41" s="50" t="inlineStr">
        <is>
          <t>clk, rst_async_n, rst_sync_n</t>
        </is>
      </c>
      <c r="L41" s="48" t="inlineStr">
        <is>
          <t>clock_distribution.docx</t>
        </is>
      </c>
      <c r="M41" s="53" t="inlineStr">
        <is>
          <t>2 instances: u_rst_50 (sys_clk domain), u_rst_100 (clk_100mhz domain). N_STAGES=4 FFs. XDC set_false_path from rst_n and mmcm_locked to chain PRE pins.</t>
        </is>
      </c>
    </row>
    <row r="42" ht="50" customHeight="1">
      <c r="A42" s="46" t="inlineStr">
        <is>
          <t>ce_strobe_gen</t>
        </is>
      </c>
      <c r="B42" s="47" t="inlineStr">
        <is>
          <t>Utilities</t>
        </is>
      </c>
      <c r="C42" s="48" t="inlineStr">
        <is>
          <t>Clock-enable strobe generator. Single 26-bit counter on sys_clk generates 4 one-cycle-wide registered CE pulses: 1kHz, 100Hz, 10Hz, 1Hz.</t>
        </is>
      </c>
      <c r="D42" s="9" t="inlineStr">
        <is>
          <t>AI-generated (clock_distribution.docx)</t>
        </is>
      </c>
      <c r="E42" s="54" t="n">
        <v>1</v>
      </c>
      <c r="F42" s="50" t="inlineStr">
        <is>
          <t>CLK_HZ=50_000_000 | RATE_1K=1000 | RATE_100=100 | RATE_10=10 | RATE_1=1 | CTR_W=26</t>
        </is>
      </c>
      <c r="G42" s="51" t="n">
        <v>48</v>
      </c>
      <c r="H42" s="51" t="n">
        <v>64</v>
      </c>
      <c r="I42" s="52" t="n">
        <v>0</v>
      </c>
      <c r="J42" s="52" t="n">
        <v>0</v>
      </c>
      <c r="K42" s="50" t="inlineStr">
        <is>
          <t>clk, rst_n, tick_1khz, tick_100hz, tick_10hz, tick_1hz</t>
        </is>
      </c>
      <c r="L42" s="48" t="inlineStr">
        <is>
          <t>clock_distribution.docx</t>
        </is>
      </c>
      <c r="M42" s="53" t="inlineStr">
        <is>
          <t>1 instance. 4 parallel comparators on 26-bit counter. $error assertions enforce CLK_HZ%RATE==0. Counter wraps at 1Hz period (49,999,999 → 0).</t>
        </is>
      </c>
    </row>
    <row r="43" ht="50" customHeight="1">
      <c r="A43" s="46" t="inlineStr">
        <is>
          <t>watchdog_timer</t>
        </is>
      </c>
      <c r="B43" s="47" t="inlineStr">
        <is>
          <t>Utilities</t>
        </is>
      </c>
      <c r="C43" s="48" t="inlineStr">
        <is>
          <t>Countdown watchdog timer. Arms on enable; must be kicked periodically or EXPIRED asserts. Configurable timeout in sys_clk cycles.</t>
        </is>
      </c>
      <c r="D43" s="9" t="inlineStr">
        <is>
          <t>AI-generated (fault manager)</t>
        </is>
      </c>
      <c r="E43" s="49" t="n">
        <v>9</v>
      </c>
      <c r="F43" s="50" t="inlineStr">
        <is>
          <t>TIMEOUT_CYCLES=50000or500000 | CLK_HZ=50_000_000</t>
        </is>
      </c>
      <c r="G43" s="51" t="n">
        <v>18</v>
      </c>
      <c r="H43" s="51" t="n">
        <v>26</v>
      </c>
      <c r="I43" s="52" t="n">
        <v>0</v>
      </c>
      <c r="J43" s="52" t="n">
        <v>0</v>
      </c>
      <c r="K43" s="50" t="inlineStr">
        <is>
          <t>clk, rst_n, en, kick, expired</t>
        </is>
      </c>
      <c r="L43" s="48" t="inlineStr">
        <is>
          <t>—</t>
        </is>
      </c>
      <c r="M43" s="53" t="inlineStr">
        <is>
          <t>9 instances: CS1/2/3 (500ms=25M cycles), UAV1/2/3 (500ms), CVG-CA (1ms=50K cycles), CVG-FC (150ms), SYS (5s). CA WDT has shortest timeout.</t>
        </is>
      </c>
    </row>
    <row r="44" ht="50" customHeight="1">
      <c r="A44" s="46" t="inlineStr">
        <is>
          <t>pwm_generator</t>
        </is>
      </c>
      <c r="B44" s="47" t="inlineStr">
        <is>
          <t>Utilities</t>
        </is>
      </c>
      <c r="C44" s="48" t="inlineStr">
        <is>
          <t>Configurable PWM output generator. 16-bit counter, frequency and duty cycle programmable. Used for ESC motor control and magnetorquer coils.</t>
        </is>
      </c>
      <c r="D44" s="9" t="inlineStr">
        <is>
          <t>AI-generated (I/O Spec)</t>
        </is>
      </c>
      <c r="E44" s="49" t="n">
        <v>13</v>
      </c>
      <c r="F44" s="50" t="inlineStr">
        <is>
          <t>CLK_HZ=50_000_000 | PWM_BITS=16 | FREQ_HZ_DEFAULT=400</t>
        </is>
      </c>
      <c r="G44" s="51" t="n">
        <v>8</v>
      </c>
      <c r="H44" s="51" t="n">
        <v>12</v>
      </c>
      <c r="I44" s="52" t="n">
        <v>0</v>
      </c>
      <c r="J44" s="52" t="n">
        <v>0</v>
      </c>
      <c r="K44" s="50" t="inlineStr">
        <is>
          <t>clk, rst_n, en, duty[15:0], freq_div[15:0], pwm_out</t>
        </is>
      </c>
      <c r="L44" s="48" t="inlineStr">
        <is>
          <t>—</t>
        </is>
      </c>
      <c r="M44" s="53" t="inlineStr">
        <is>
          <t>13 instances: 4×3=12 ESC (4 motors × 3 UAVs) + 1 spare. freq_div register sets carrier. duty register sets pulse width. Resolution 1/65536 at 400Hz.</t>
        </is>
      </c>
    </row>
    <row r="45" ht="50" customHeight="1">
      <c r="A45" s="46" t="inlineStr">
        <is>
          <t>stepper_controller</t>
        </is>
      </c>
      <c r="B45" s="47" t="inlineStr">
        <is>
          <t>Utilities</t>
        </is>
      </c>
      <c r="C45" s="48" t="inlineStr">
        <is>
          <t>STEP/DIR stepper motor controller with trapezoidal acceleration profile. Used for laser gimbal (2 axes per CS × 3 CS = 6 instances).</t>
        </is>
      </c>
      <c r="D45" s="9" t="inlineStr">
        <is>
          <t>AI-generated (CS Req)</t>
        </is>
      </c>
      <c r="E45" s="49" t="n">
        <v>6</v>
      </c>
      <c r="F45" s="50" t="inlineStr">
        <is>
          <t>CLK_HZ=50_000_000 | MICRO_STEPS=16 | MAX_RATE_HZ=5000</t>
        </is>
      </c>
      <c r="G45" s="51" t="n">
        <v>60</v>
      </c>
      <c r="H45" s="51" t="n">
        <v>80</v>
      </c>
      <c r="I45" s="52" t="n">
        <v>0</v>
      </c>
      <c r="J45" s="52" t="n">
        <v>0</v>
      </c>
      <c r="K45" s="50" t="inlineStr">
        <is>
          <t>clk, rst_n, en, target_pos[31:0], step, dir, at_position, fault</t>
        </is>
      </c>
      <c r="L45" s="48" t="inlineStr">
        <is>
          <t>—</t>
        </is>
      </c>
      <c r="M45" s="53" t="inlineStr">
        <is>
          <t>6 instances: 2 axes (az/el) × 3 CS. Trapezoidal: accel, const-vel, decel phases. 16-microstep interpolation.</t>
        </is>
      </c>
    </row>
    <row r="46" ht="50" customHeight="1">
      <c r="A46" s="46" t="inlineStr">
        <is>
          <t>tof_echo_capture</t>
        </is>
      </c>
      <c r="B46" s="47" t="inlineStr">
        <is>
          <t>Utilities</t>
        </is>
      </c>
      <c r="C46" s="48" t="inlineStr">
        <is>
          <t>Time-of-flight range sensor echo pulse-width capture. Active below 10m AGL. 50MHz counter measures echo pulse duration.</t>
        </is>
      </c>
      <c r="D46" s="9" t="inlineStr">
        <is>
          <t>AI-generated (UAV Req)</t>
        </is>
      </c>
      <c r="E46" s="49" t="n">
        <v>3</v>
      </c>
      <c r="F46" s="50" t="inlineStr">
        <is>
          <t>CLK_HZ=50_000_000 | RANGE_MAX_M=10</t>
        </is>
      </c>
      <c r="G46" s="51" t="n">
        <v>16</v>
      </c>
      <c r="H46" s="51" t="n">
        <v>24</v>
      </c>
      <c r="I46" s="52" t="n">
        <v>0</v>
      </c>
      <c r="J46" s="52" t="n">
        <v>0</v>
      </c>
      <c r="K46" s="50" t="inlineStr">
        <is>
          <t>clk, rst_n, trig_out, echo_in, range_m[15:0], range_valid</t>
        </is>
      </c>
      <c r="L46" s="48" t="inlineStr">
        <is>
          <t>—</t>
        </is>
      </c>
      <c r="M46" s="53" t="inlineStr">
        <is>
          <t>3 instances (UAV1/2/3). 50MHz counter: 1 count = 20ns = 3.4mm range resolution. Range = count × 340m/s / 2.</t>
        </is>
      </c>
    </row>
    <row r="47" ht="50" customHeight="1">
      <c r="A47" s="46" t="inlineStr">
        <is>
          <t>mavlink_fifo</t>
        </is>
      </c>
      <c r="B47" s="47" t="inlineStr">
        <is>
          <t>Utilities</t>
        </is>
      </c>
      <c r="C47" s="48" t="inlineStr">
        <is>
          <t>Priority FIFO for MAVLink TX messages. BRAM-based 256-deep × 8-bit. Priority ordering ensures ESTOP/EMERGENCY messages jump the queue.</t>
        </is>
      </c>
      <c r="D47" s="9" t="inlineStr">
        <is>
          <t>AI-generated (UAV Req / mavlink_v2_stack)</t>
        </is>
      </c>
      <c r="E47" s="49" t="n">
        <v>3</v>
      </c>
      <c r="F47" s="50" t="inlineStr">
        <is>
          <t>DEPTH=256 | DATA_W=8 | PRIORITY_LEVELS=2</t>
        </is>
      </c>
      <c r="G47" s="51" t="n">
        <v>20</v>
      </c>
      <c r="H47" s="51" t="n">
        <v>28</v>
      </c>
      <c r="I47" s="52" t="n">
        <v>0</v>
      </c>
      <c r="J47" s="51" t="n">
        <v>1</v>
      </c>
      <c r="K47" s="50" t="inlineStr">
        <is>
          <t>clk, rst_n, wr_data[7:0], wr_priority, wr_en, rd_data[7:0], rd_en, empty, full</t>
        </is>
      </c>
      <c r="L47" s="48" t="inlineStr">
        <is>
          <t>—</t>
        </is>
      </c>
      <c r="M47" s="53" t="inlineStr">
        <is>
          <t>3 instances (UAV1/2/3). 256B × 8b = 2Kb — requires BRAM18. Priority bit: 0=normal, 1=emergency (jumps ahead).</t>
        </is>
      </c>
    </row>
    <row r="48" ht="20" customHeight="1">
      <c r="A48" s="55" t="inlineStr">
        <is>
          <t>▶  System/Xilinx IP</t>
        </is>
      </c>
    </row>
    <row r="49" ht="50" customHeight="1">
      <c r="A49" s="56" t="inlineStr">
        <is>
          <t>clk_wiz_0</t>
        </is>
      </c>
      <c r="B49" s="57" t="inlineStr">
        <is>
          <t>System/Xilinx IP</t>
        </is>
      </c>
      <c r="C49" s="58" t="inlineStr">
        <is>
          <t>Xilinx Clock Wizard IP. MMCM-based clock generation. 50MHz LVDS input → 50MHz sys_clk + 100MHz clk_100mhz. (* DONT_TOUCH *) on BUFG outputs.</t>
        </is>
      </c>
      <c r="D49" s="59" t="inlineStr">
        <is>
          <t>Xilinx IP Catalog (Vivado)</t>
        </is>
      </c>
      <c r="E49" s="60" t="n">
        <v>1</v>
      </c>
      <c r="F49" s="61" t="inlineStr">
        <is>
          <t>CLKFBOUT_MULT_F=16 | DIVCLK_DIVIDE=1 | CLKOUT0_DIVIDE_F=8 | CLKOUT1_DIVIDE=16 | VCO=800MHz</t>
        </is>
      </c>
      <c r="G49" s="62" t="n">
        <v>8</v>
      </c>
      <c r="H49" s="62" t="n">
        <v>16</v>
      </c>
      <c r="I49" s="63" t="n">
        <v>0</v>
      </c>
      <c r="J49" s="63" t="n">
        <v>0</v>
      </c>
      <c r="K49" s="61" t="inlineStr">
        <is>
          <t>clk_in1_p, clk_in1_n, clk_out1(100MHz), clk_out2(50MHz), locked, reset</t>
        </is>
      </c>
      <c r="L49" s="58" t="inlineStr">
        <is>
          <t>clock_distribution.docx / clk_arch_spec.docx</t>
        </is>
      </c>
      <c r="M49" s="64" t="inlineStr">
        <is>
          <t>Generated via Vivado IP Catalog. Artix-7 MMCM_ADV primitive. VCO=800MHz centred in 600-1200MHz band. 2 BUFG outputs with DONT_TOUCH.</t>
        </is>
      </c>
    </row>
    <row r="50" ht="50" customHeight="1">
      <c r="A50" s="56" t="inlineStr">
        <is>
          <t>ila_0 (debug_ila_wrapper)</t>
        </is>
      </c>
      <c r="B50" s="57" t="inlineStr">
        <is>
          <t>System/Xilinx IP</t>
        </is>
      </c>
      <c r="C50" s="58" t="inlineStr">
        <is>
          <t>Vivado Integrated Logic Analyser. 8 probe signals, 1024-sample depth. BRAM-based capture buffer. Remove for flight build (DEBUG_EN=0).</t>
        </is>
      </c>
      <c r="D50" s="59" t="inlineStr">
        <is>
          <t>Xilinx IP Catalog (Vivado)</t>
        </is>
      </c>
      <c r="E50" s="60" t="n">
        <v>1</v>
      </c>
      <c r="F50" s="61" t="inlineStr">
        <is>
          <t>C_NUM_OF_PROBES=8 | C_DATA_DEPTH=1024 | C_PROBE0_WIDTH=32 | … | C_PROBE7_WIDTH=32</t>
        </is>
      </c>
      <c r="G50" s="62" t="n">
        <v>100</v>
      </c>
      <c r="H50" s="62" t="n">
        <v>200</v>
      </c>
      <c r="I50" s="63" t="n">
        <v>0</v>
      </c>
      <c r="J50" s="62" t="n">
        <v>1</v>
      </c>
      <c r="K50" s="61" t="inlineStr">
        <is>
          <t>clk, probe0[31:0]..probe7[31:0] (key signals: CS1 quat, UAV1 pos, CVG_SCORE, fault_flags, ca_override, form_achieved, vel_cmd, fsm_state)</t>
        </is>
      </c>
      <c r="L50" s="58" t="inlineStr">
        <is>
          <t>module_hierarchy.docx</t>
        </is>
      </c>
      <c r="M50" s="64" t="inlineStr">
        <is>
          <t>DEBUG_EN=0 removes this block from synthesis (generate if block). 1 BRAM18 for 1024×256b capture buffer. Remove from flight XDC by excluding ila_0.xci from synth.</t>
        </is>
      </c>
    </row>
    <row r="51" ht="50" customHeight="1">
      <c r="A51" s="56" t="inlineStr">
        <is>
          <t>xadc_monitor (XADC)</t>
        </is>
      </c>
      <c r="B51" s="57" t="inlineStr">
        <is>
          <t>System/Xilinx IP</t>
        </is>
      </c>
      <c r="C51" s="58" t="inlineStr">
        <is>
          <t>Artix-7 built-in XADC analog-to-digital converter. Monitors VCCINT, VCCAUX, on-chip temperature. Raises fault_flags on threshold breach.</t>
        </is>
      </c>
      <c r="D51" s="59" t="inlineStr">
        <is>
          <t>Xilinx Primitive (XADC_WIZ IP)</t>
        </is>
      </c>
      <c r="E51" s="60" t="n">
        <v>1</v>
      </c>
      <c r="F51" s="61" t="inlineStr">
        <is>
          <t>INIT_42=0x0000 | TEMP_THRESH=85°C | VCCINT_THRESH=1100mV</t>
        </is>
      </c>
      <c r="G51" s="62" t="n">
        <v>64</v>
      </c>
      <c r="H51" s="62" t="n">
        <v>80</v>
      </c>
      <c r="I51" s="63" t="n">
        <v>0</v>
      </c>
      <c r="J51" s="63" t="n">
        <v>0</v>
      </c>
      <c r="K51" s="61" t="inlineStr">
        <is>
          <t>clk, rst_n, vccint_alarm, vccaux_alarm, temp_alarm, temp_out[11:0], vccint_out[11:0]</t>
        </is>
      </c>
      <c r="L51" s="58" t="inlineStr">
        <is>
          <t>power_budget.docx</t>
        </is>
      </c>
      <c r="M51" s="64" t="inlineStr">
        <is>
          <t>XADC is a dedicated hardware block — 0 fabric LUT. Wrapper adds CSR interface (64 LUT). Temperature in tenths of degree C.</t>
        </is>
      </c>
    </row>
    <row r="52" ht="50" customHeight="1">
      <c r="A52" s="56" t="inlineStr">
        <is>
          <t>BUFG (global clock buffer)</t>
        </is>
      </c>
      <c r="B52" s="57" t="inlineStr">
        <is>
          <t>System/Xilinx IP</t>
        </is>
      </c>
      <c r="C52" s="58" t="inlineStr">
        <is>
          <t>Xilinx global clock buffer. Drives clock spine with minimum skew. Used for sys_clk and clk_100mhz outputs from MMCM. (* DONT_TOUCH *).</t>
        </is>
      </c>
      <c r="D52" s="59" t="inlineStr">
        <is>
          <t>Xilinx Primitive</t>
        </is>
      </c>
      <c r="E52" s="65" t="n">
        <v>2</v>
      </c>
      <c r="F52" s="61" t="inlineStr">
        <is>
          <t>— (no parameters)</t>
        </is>
      </c>
      <c r="G52" s="63" t="n">
        <v>0</v>
      </c>
      <c r="H52" s="63" t="n">
        <v>0</v>
      </c>
      <c r="I52" s="63" t="n">
        <v>0</v>
      </c>
      <c r="J52" s="63" t="n">
        <v>0</v>
      </c>
      <c r="K52" s="61" t="inlineStr">
        <is>
          <t>I (clock in from MMCM CLKOUT), O (buffered clock to fabric)</t>
        </is>
      </c>
      <c r="L52" s="58" t="inlineStr">
        <is>
          <t>clock_distribution.docx</t>
        </is>
      </c>
      <c r="M52" s="64" t="inlineStr">
        <is>
          <t>2 instances: BUFG_0=sys_clk, BUFG_1=clk_100mhz. (* DONT_TOUCH = 'yes' *) prevents synthesis from removing or merging. Maximum 32 BUFGs on XC7A35T; using 2.</t>
        </is>
      </c>
    </row>
    <row r="53" ht="50" customHeight="1">
      <c r="A53" s="56" t="inlineStr">
        <is>
          <t>ODDR (output DDR FF)</t>
        </is>
      </c>
      <c r="B53" s="57" t="inlineStr">
        <is>
          <t>System/Xilinx IP</t>
        </is>
      </c>
      <c r="C53" s="58" t="inlineStr">
        <is>
          <t>Artix-7 output double-data-rate register. Used for ISL parallel optical link to drive 8-bit data at 10Mbps using both clock edges.</t>
        </is>
      </c>
      <c r="D53" s="59" t="inlineStr">
        <is>
          <t>Xilinx Primitive</t>
        </is>
      </c>
      <c r="E53" s="65" t="n">
        <v>24</v>
      </c>
      <c r="F53" s="61" t="inlineStr">
        <is>
          <t>DDR_CLK_EDGE=SAME_EDGE | SRTYPE=SYNC</t>
        </is>
      </c>
      <c r="G53" s="63" t="n">
        <v>0</v>
      </c>
      <c r="H53" s="63" t="n">
        <v>0</v>
      </c>
      <c r="I53" s="63" t="n">
        <v>0</v>
      </c>
      <c r="J53" s="63" t="n">
        <v>0</v>
      </c>
      <c r="K53" s="61" t="inlineStr">
        <is>
          <t>C (clock), CE, D1 (rise data), D2 (fall data), Q (output), S/R</t>
        </is>
      </c>
      <c r="L53" s="58" t="inlineStr">
        <is>
          <t>—</t>
        </is>
      </c>
      <c r="M53" s="64" t="inlineStr">
        <is>
          <t>24 instances: 8 per CS ISL TX × 3 CS. Dedicated IOB register — 0 fabric resources.</t>
        </is>
      </c>
    </row>
    <row r="54" ht="50" customHeight="1">
      <c r="A54" s="56" t="inlineStr">
        <is>
          <t>IDDR (input DDR FF)</t>
        </is>
      </c>
      <c r="B54" s="57" t="inlineStr">
        <is>
          <t>System/Xilinx IP</t>
        </is>
      </c>
      <c r="C54" s="58" t="inlineStr">
        <is>
          <t>Artix-7 input double-data-rate register. Captures ISL RX data on both edges at convergence engine.</t>
        </is>
      </c>
      <c r="D54" s="59" t="inlineStr">
        <is>
          <t>Xilinx Primitive</t>
        </is>
      </c>
      <c r="E54" s="65" t="n">
        <v>24</v>
      </c>
      <c r="F54" s="61" t="inlineStr">
        <is>
          <t>DDR_CLK_EDGE=SAME_EDGE_PIPELINED | SRTYPE=SYNC</t>
        </is>
      </c>
      <c r="G54" s="63" t="n">
        <v>0</v>
      </c>
      <c r="H54" s="63" t="n">
        <v>0</v>
      </c>
      <c r="I54" s="63" t="n">
        <v>0</v>
      </c>
      <c r="J54" s="63" t="n">
        <v>0</v>
      </c>
      <c r="K54" s="61" t="inlineStr">
        <is>
          <t>C (clock), CE, D (input), Q1 (rise capture), Q2 (fall capture), S/R</t>
        </is>
      </c>
      <c r="L54" s="58" t="inlineStr">
        <is>
          <t>—</t>
        </is>
      </c>
      <c r="M54" s="64" t="inlineStr">
        <is>
          <t>24 instances: 8 per ISL RX × 3 CS links. Dedicated IOB register — 0 fabric resources.</t>
        </is>
      </c>
    </row>
    <row r="55" ht="50" customHeight="1">
      <c r="A55" s="56" t="inlineStr">
        <is>
          <t>axi_lite_interconnect</t>
        </is>
      </c>
      <c r="B55" s="57" t="inlineStr">
        <is>
          <t>System/Xilinx IP</t>
        </is>
      </c>
      <c r="C55" s="58" t="inlineStr">
        <is>
          <t>AXI4-Lite crossbar interconnect. Routes GS command decoder (master) to 9 slave register banks (CS1-3, UAV1-3, CVG, SYS). 12-bit address decode.</t>
        </is>
      </c>
      <c r="D55" s="9" t="inlineStr">
        <is>
          <t>AI-generated (AXI4 Register Map)</t>
        </is>
      </c>
      <c r="E55" s="60" t="n">
        <v>1</v>
      </c>
      <c r="F55" s="61" t="inlineStr">
        <is>
          <t>DATA_W=32 | ADDR_W=12 | N_SLAVES=9</t>
        </is>
      </c>
      <c r="G55" s="62" t="n">
        <v>128</v>
      </c>
      <c r="H55" s="62" t="n">
        <v>160</v>
      </c>
      <c r="I55" s="63" t="n">
        <v>0</v>
      </c>
      <c r="J55" s="63" t="n">
        <v>0</v>
      </c>
      <c r="K55" s="61" t="inlineStr">
        <is>
          <t>s_axi_* (all 5 AXI4-Lite channels), cs_we[2:0], uav_we[2:0], cvg_we, sys_we, ic_wdata[31:0], ic_rdata[31:0]</t>
        </is>
      </c>
      <c r="L55" s="58" t="inlineStr">
        <is>
          <t>axi4_register_map.xlsx</t>
        </is>
      </c>
      <c r="M55" s="64" t="inlineStr">
        <is>
          <t>Address decode: 0x0000-0x0FFF=CS1, 0x1000=CS2, 0x2000=CS3, 0x3000=UAV1, 0x4000=UAV2, 0x5000=UAV3, 0x6000=CVG, 0x7000=SYS.</t>
        </is>
      </c>
    </row>
  </sheetData>
  <mergeCells count="9">
    <mergeCell ref="A1:M1"/>
    <mergeCell ref="A5:M5"/>
    <mergeCell ref="A37:M37"/>
    <mergeCell ref="A27:M27"/>
    <mergeCell ref="A48:M48"/>
    <mergeCell ref="A3:M3"/>
    <mergeCell ref="A16:M16"/>
    <mergeCell ref="A2:M2"/>
    <mergeCell ref="A11:M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</cols>
  <sheetData>
    <row r="1" ht="26" customHeight="1">
      <c r="A1" s="1" t="inlineStr">
        <is>
          <t>IP Core Resource Totals — Per Category and Fleet-Wide</t>
        </is>
      </c>
    </row>
    <row r="2" ht="36" customHeight="1">
      <c r="A2" s="4" t="inlineStr">
        <is>
          <t>Category</t>
        </is>
      </c>
      <c r="B2" s="4" t="inlineStr">
        <is>
          <t>Unique Cores</t>
        </is>
      </c>
      <c r="C2" s="4" t="inlineStr">
        <is>
          <t>Total Instances</t>
        </is>
      </c>
      <c r="D2" s="4" t="inlineStr">
        <is>
          <t>LUT (per-inst)</t>
        </is>
      </c>
      <c r="E2" s="4" t="inlineStr">
        <is>
          <t>LUT (total)</t>
        </is>
      </c>
      <c r="F2" s="4" t="inlineStr">
        <is>
          <t>FF (per-inst)</t>
        </is>
      </c>
      <c r="G2" s="4" t="inlineStr">
        <is>
          <t>FF (total)</t>
        </is>
      </c>
      <c r="H2" s="4" t="inlineStr">
        <is>
          <t>DSP (per-inst)</t>
        </is>
      </c>
      <c r="I2" s="4" t="inlineStr">
        <is>
          <t>DSP (total)</t>
        </is>
      </c>
      <c r="J2" s="4" t="inlineStr">
        <is>
          <t>BRAM (per-inst)</t>
        </is>
      </c>
      <c r="K2" s="4" t="inlineStr">
        <is>
          <t>BRAM (total)</t>
        </is>
      </c>
    </row>
    <row r="3" ht="24" customHeight="1">
      <c r="A3" s="66" t="inlineStr">
        <is>
          <t>PID</t>
        </is>
      </c>
      <c r="B3" s="67" t="n">
        <v>5</v>
      </c>
      <c r="C3" s="67" t="n">
        <v>10</v>
      </c>
      <c r="D3" s="67" t="n">
        <v>22</v>
      </c>
      <c r="E3" s="67" t="n">
        <v>220</v>
      </c>
      <c r="F3" s="67" t="n">
        <v>31</v>
      </c>
      <c r="G3" s="67" t="n">
        <v>312</v>
      </c>
      <c r="H3" s="67" t="n">
        <v>0</v>
      </c>
      <c r="I3" s="67" t="n">
        <v>8</v>
      </c>
      <c r="J3" s="67" t="n">
        <v>0</v>
      </c>
      <c r="K3" s="67" t="n">
        <v>0</v>
      </c>
    </row>
    <row r="4" ht="24" customHeight="1">
      <c r="A4" s="68" t="inlineStr">
        <is>
          <t>Kalman</t>
        </is>
      </c>
      <c r="B4" s="69" t="n">
        <v>4</v>
      </c>
      <c r="C4" s="69" t="n">
        <v>11</v>
      </c>
      <c r="D4" s="69" t="n">
        <v>296</v>
      </c>
      <c r="E4" s="69" t="n">
        <v>3260</v>
      </c>
      <c r="F4" s="69" t="n">
        <v>396</v>
      </c>
      <c r="G4" s="69" t="n">
        <v>4360</v>
      </c>
      <c r="H4" s="69" t="n">
        <v>1</v>
      </c>
      <c r="I4" s="69" t="n">
        <v>16</v>
      </c>
      <c r="J4" s="69" t="n">
        <v>1</v>
      </c>
      <c r="K4" s="69" t="n">
        <v>12</v>
      </c>
    </row>
    <row r="5" ht="24" customHeight="1">
      <c r="A5" s="70" t="inlineStr">
        <is>
          <t>Comms</t>
        </is>
      </c>
      <c r="B5" s="71" t="n">
        <v>10</v>
      </c>
      <c r="C5" s="71" t="n">
        <v>48</v>
      </c>
      <c r="D5" s="71" t="n">
        <v>39</v>
      </c>
      <c r="E5" s="71" t="n">
        <v>1890</v>
      </c>
      <c r="F5" s="71" t="n">
        <v>56</v>
      </c>
      <c r="G5" s="71" t="n">
        <v>2688</v>
      </c>
      <c r="H5" s="71" t="n">
        <v>0</v>
      </c>
      <c r="I5" s="71" t="n">
        <v>0</v>
      </c>
      <c r="J5" s="71" t="n">
        <v>0</v>
      </c>
      <c r="K5" s="71" t="n">
        <v>3</v>
      </c>
    </row>
    <row r="6" ht="24" customHeight="1">
      <c r="A6" s="72" t="inlineStr">
        <is>
          <t>Math</t>
        </is>
      </c>
      <c r="B6" s="73" t="n">
        <v>9</v>
      </c>
      <c r="C6" s="73" t="n">
        <v>30</v>
      </c>
      <c r="D6" s="73" t="n">
        <v>46</v>
      </c>
      <c r="E6" s="73" t="n">
        <v>1400</v>
      </c>
      <c r="F6" s="73" t="n">
        <v>81</v>
      </c>
      <c r="G6" s="73" t="n">
        <v>2432</v>
      </c>
      <c r="H6" s="73" t="n">
        <v>0</v>
      </c>
      <c r="I6" s="73" t="n">
        <v>15</v>
      </c>
      <c r="J6" s="73" t="n">
        <v>0</v>
      </c>
      <c r="K6" s="73" t="n">
        <v>1</v>
      </c>
    </row>
    <row r="7" ht="24" customHeight="1">
      <c r="A7" s="74" t="inlineStr">
        <is>
          <t>Utilities</t>
        </is>
      </c>
      <c r="B7" s="75" t="n">
        <v>10</v>
      </c>
      <c r="C7" s="75" t="n">
        <v>55</v>
      </c>
      <c r="D7" s="75" t="n">
        <v>19</v>
      </c>
      <c r="E7" s="75" t="n">
        <v>1086</v>
      </c>
      <c r="F7" s="75" t="n">
        <v>31</v>
      </c>
      <c r="G7" s="75" t="n">
        <v>1722</v>
      </c>
      <c r="H7" s="75" t="n">
        <v>0</v>
      </c>
      <c r="I7" s="75" t="n">
        <v>0</v>
      </c>
      <c r="J7" s="75" t="n">
        <v>0</v>
      </c>
      <c r="K7" s="75" t="n">
        <v>3</v>
      </c>
    </row>
    <row r="8" ht="24" customHeight="1">
      <c r="A8" s="76" t="inlineStr">
        <is>
          <t>System/Xilinx IP</t>
        </is>
      </c>
      <c r="B8" s="77" t="n">
        <v>7</v>
      </c>
      <c r="C8" s="77" t="n">
        <v>54</v>
      </c>
      <c r="D8" s="77" t="n">
        <v>5</v>
      </c>
      <c r="E8" s="77" t="n">
        <v>300</v>
      </c>
      <c r="F8" s="77" t="n">
        <v>8</v>
      </c>
      <c r="G8" s="77" t="n">
        <v>456</v>
      </c>
      <c r="H8" s="77" t="n">
        <v>0</v>
      </c>
      <c r="I8" s="77" t="n">
        <v>0</v>
      </c>
      <c r="J8" s="77" t="n">
        <v>0</v>
      </c>
      <c r="K8" s="77" t="n">
        <v>1</v>
      </c>
    </row>
    <row r="9" ht="26" customHeight="1">
      <c r="A9" s="78" t="inlineStr">
        <is>
          <t>GRAND TOTAL</t>
        </is>
      </c>
      <c r="B9" s="79" t="n">
        <v>45</v>
      </c>
      <c r="C9" s="79" t="n">
        <v>208</v>
      </c>
      <c r="D9" s="79" t="n">
        <v>39</v>
      </c>
      <c r="E9" s="79" t="n">
        <v>8156</v>
      </c>
      <c r="F9" s="79" t="n">
        <v>57</v>
      </c>
      <c r="G9" s="79" t="n">
        <v>11970</v>
      </c>
      <c r="H9" s="79" t="n">
        <v>0</v>
      </c>
      <c r="I9" s="79" t="n">
        <v>39</v>
      </c>
      <c r="J9" s="79" t="n">
        <v>0</v>
      </c>
      <c r="K9" s="79" t="n">
        <v>20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5" customWidth="1" min="4" max="4"/>
    <col width="48" customWidth="1" min="5" max="5"/>
  </cols>
  <sheetData>
    <row r="1" ht="26" customHeight="1">
      <c r="A1" s="1" t="inlineStr">
        <is>
          <t>IP Core Source Cross-Reference — Generation Prompts and Document Links</t>
        </is>
      </c>
    </row>
    <row r="2" ht="30" customHeight="1">
      <c r="A2" s="80" t="inlineStr">
        <is>
          <t>Core Name</t>
        </is>
      </c>
      <c r="B2" s="80" t="inlineStr">
        <is>
          <t>Category</t>
        </is>
      </c>
      <c r="C2" s="80" t="inlineStr">
        <is>
          <t>Source Type</t>
        </is>
      </c>
      <c r="D2" s="80" t="inlineStr">
        <is>
          <t>Generation Reference</t>
        </is>
      </c>
      <c r="E2" s="80" t="inlineStr">
        <is>
          <t>Reuse Notes</t>
        </is>
      </c>
    </row>
    <row r="3" ht="36" customHeight="1">
      <c r="A3" s="81" t="inlineStr">
        <is>
          <t>pid_engine</t>
        </is>
      </c>
      <c r="B3" s="82" t="inlineStr">
        <is>
          <t>PID</t>
        </is>
      </c>
      <c r="C3" s="19" t="inlineStr">
        <is>
          <t>AI-generated (versioned)</t>
        </is>
      </c>
      <c r="D3" s="83" t="inlineStr">
        <is>
          <t>P-2.1 (pid_fixed_point.docx)</t>
        </is>
      </c>
      <c r="E3" s="19" t="inlineStr">
        <is>
          <t>1× — single instance</t>
        </is>
      </c>
    </row>
    <row r="4" ht="36" customHeight="1">
      <c r="A4" s="81" t="inlineStr">
        <is>
          <t>pid_p_term</t>
        </is>
      </c>
      <c r="B4" s="82" t="inlineStr">
        <is>
          <t>PID</t>
        </is>
      </c>
      <c r="C4" s="19" t="inlineStr">
        <is>
          <t>AI-generated (versioned)</t>
        </is>
      </c>
      <c r="D4" s="83" t="inlineStr">
        <is>
          <t>P-2.1</t>
        </is>
      </c>
      <c r="E4" s="19" t="inlineStr">
        <is>
          <t>1× — single instance</t>
        </is>
      </c>
    </row>
    <row r="5" ht="36" customHeight="1">
      <c r="A5" s="81" t="inlineStr">
        <is>
          <t>pid_i_term</t>
        </is>
      </c>
      <c r="B5" s="82" t="inlineStr">
        <is>
          <t>PID</t>
        </is>
      </c>
      <c r="C5" s="19" t="inlineStr">
        <is>
          <t>AI-generated (versioned)</t>
        </is>
      </c>
      <c r="D5" s="83" t="inlineStr">
        <is>
          <t>P-2.1</t>
        </is>
      </c>
      <c r="E5" s="19" t="inlineStr">
        <is>
          <t>1× — single instance</t>
        </is>
      </c>
    </row>
    <row r="6" ht="36" customHeight="1">
      <c r="A6" s="81" t="inlineStr">
        <is>
          <t>pid_d_term</t>
        </is>
      </c>
      <c r="B6" s="82" t="inlineStr">
        <is>
          <t>PID</t>
        </is>
      </c>
      <c r="C6" s="19" t="inlineStr">
        <is>
          <t>AI-generated (versioned)</t>
        </is>
      </c>
      <c r="D6" s="83" t="inlineStr">
        <is>
          <t>P-2.1</t>
        </is>
      </c>
      <c r="E6" s="19" t="inlineStr">
        <is>
          <t>1× — single instance</t>
        </is>
      </c>
    </row>
    <row r="7" ht="36" customHeight="1">
      <c r="A7" s="81" t="inlineStr">
        <is>
          <t>rate_limiter</t>
        </is>
      </c>
      <c r="B7" s="82" t="inlineStr">
        <is>
          <t>PID</t>
        </is>
      </c>
      <c r="C7" s="19" t="inlineStr">
        <is>
          <t>AI-generated</t>
        </is>
      </c>
      <c r="D7" s="83" t="inlineStr">
        <is>
          <t>AI-generated</t>
        </is>
      </c>
      <c r="E7" s="19" t="inlineStr">
        <is>
          <t>6× — identical parameter set</t>
        </is>
      </c>
    </row>
    <row r="8" ht="36" customHeight="1">
      <c r="A8" s="84" t="inlineStr">
        <is>
          <t>quat_ekf_7state</t>
        </is>
      </c>
      <c r="B8" s="85" t="inlineStr">
        <is>
          <t>Kalman</t>
        </is>
      </c>
      <c r="C8" s="19" t="inlineStr">
        <is>
          <t>AI-generated (versioned)</t>
        </is>
      </c>
      <c r="D8" s="83" t="inlineStr">
        <is>
          <t>P-2.2 (kalman_spec.docx)</t>
        </is>
      </c>
      <c r="E8" s="19" t="inlineStr">
        <is>
          <t>3× — identical parameter set</t>
        </is>
      </c>
    </row>
    <row r="9" ht="36" customHeight="1">
      <c r="A9" s="84" t="inlineStr">
        <is>
          <t>ekf_9state_navigator</t>
        </is>
      </c>
      <c r="B9" s="85" t="inlineStr">
        <is>
          <t>Kalman</t>
        </is>
      </c>
      <c r="C9" s="19" t="inlineStr">
        <is>
          <t>AI-generated (versioned)</t>
        </is>
      </c>
      <c r="D9" s="83" t="inlineStr">
        <is>
          <t>P-2.3 (ekf9_spec.docx)</t>
        </is>
      </c>
      <c r="E9" s="19" t="inlineStr">
        <is>
          <t>3× — identical parameter set</t>
        </is>
      </c>
    </row>
    <row r="10" ht="36" customHeight="1">
      <c r="A10" s="84" t="inlineStr">
        <is>
          <t>multi_vehicle_kalman</t>
        </is>
      </c>
      <c r="B10" s="85" t="inlineStr">
        <is>
          <t>Kalman</t>
        </is>
      </c>
      <c r="C10" s="19" t="inlineStr">
        <is>
          <t>AI-generated</t>
        </is>
      </c>
      <c r="D10" s="83" t="inlineStr">
        <is>
          <t>P-2.4 (convergence_requirements.docx)</t>
        </is>
      </c>
      <c r="E10" s="19" t="inlineStr">
        <is>
          <t>1× — single instance</t>
        </is>
      </c>
    </row>
    <row r="11" ht="36" customHeight="1">
      <c r="A11" s="84" t="inlineStr">
        <is>
          <t>ekf_covariance</t>
        </is>
      </c>
      <c r="B11" s="85" t="inlineStr">
        <is>
          <t>Kalman</t>
        </is>
      </c>
      <c r="C11" s="19" t="inlineStr">
        <is>
          <t>AI-generated (versioned)</t>
        </is>
      </c>
      <c r="D11" s="83" t="inlineStr">
        <is>
          <t>P-2.2 / P-2.3</t>
        </is>
      </c>
      <c r="E11" s="19" t="inlineStr">
        <is>
          <t>4× — identical parameter set</t>
        </is>
      </c>
    </row>
    <row r="12" ht="36" customHeight="1">
      <c r="A12" s="86" t="inlineStr">
        <is>
          <t>spi_master</t>
        </is>
      </c>
      <c r="B12" s="87" t="inlineStr">
        <is>
          <t>Comms</t>
        </is>
      </c>
      <c r="C12" s="19" t="inlineStr">
        <is>
          <t>AI-generated</t>
        </is>
      </c>
      <c r="D12" s="83" t="inlineStr">
        <is>
          <t>P-1.x (I/O Spec) + clock_distribution.docx</t>
        </is>
      </c>
      <c r="E12" s="19" t="inlineStr">
        <is>
          <t>6× — identical parameter set</t>
        </is>
      </c>
    </row>
    <row r="13" ht="36" customHeight="1">
      <c r="A13" s="86" t="inlineStr">
        <is>
          <t>spi_master (baro)</t>
        </is>
      </c>
      <c r="B13" s="87" t="inlineStr">
        <is>
          <t>Comms</t>
        </is>
      </c>
      <c r="C13" s="19" t="inlineStr">
        <is>
          <t>AI-generated</t>
        </is>
      </c>
      <c r="D13" s="83" t="inlineStr">
        <is>
          <t>P-1.x (UAV Req)</t>
        </is>
      </c>
      <c r="E13" s="19" t="inlineStr">
        <is>
          <t>3× — identical parameter set</t>
        </is>
      </c>
    </row>
    <row r="14" ht="36" customHeight="1">
      <c r="A14" s="86" t="inlineStr">
        <is>
          <t>i2c_master</t>
        </is>
      </c>
      <c r="B14" s="87" t="inlineStr">
        <is>
          <t>Comms</t>
        </is>
      </c>
      <c r="C14" s="19" t="inlineStr">
        <is>
          <t>AI-generated</t>
        </is>
      </c>
      <c r="D14" s="83" t="inlineStr">
        <is>
          <t>AI-generated</t>
        </is>
      </c>
      <c r="E14" s="19" t="inlineStr">
        <is>
          <t>3× — identical parameter set</t>
        </is>
      </c>
    </row>
    <row r="15" ht="36" customHeight="1">
      <c r="A15" s="86" t="inlineStr">
        <is>
          <t>uart_rx</t>
        </is>
      </c>
      <c r="B15" s="87" t="inlineStr">
        <is>
          <t>Comms</t>
        </is>
      </c>
      <c r="C15" s="19" t="inlineStr">
        <is>
          <t>AI-generated</t>
        </is>
      </c>
      <c r="D15" s="83" t="inlineStr">
        <is>
          <t>bus_spec.docx / UAV Req</t>
        </is>
      </c>
      <c r="E15" s="19" t="inlineStr">
        <is>
          <t>12× — identical parameter set</t>
        </is>
      </c>
    </row>
    <row r="16" ht="36" customHeight="1">
      <c r="A16" s="86" t="inlineStr">
        <is>
          <t>uart_tx</t>
        </is>
      </c>
      <c r="B16" s="87" t="inlineStr">
        <is>
          <t>Comms</t>
        </is>
      </c>
      <c r="C16" s="19" t="inlineStr">
        <is>
          <t>AI-generated</t>
        </is>
      </c>
      <c r="D16" s="83" t="inlineStr">
        <is>
          <t>bus_spec.docx</t>
        </is>
      </c>
      <c r="E16" s="19" t="inlineStr">
        <is>
          <t>9× — identical parameter set</t>
        </is>
      </c>
    </row>
    <row r="17" ht="36" customHeight="1">
      <c r="A17" s="86" t="inlineStr">
        <is>
          <t>mavlink_v2_stack</t>
        </is>
      </c>
      <c r="B17" s="87" t="inlineStr">
        <is>
          <t>Comms</t>
        </is>
      </c>
      <c r="C17" s="19" t="inlineStr">
        <is>
          <t>AI-generated</t>
        </is>
      </c>
      <c r="D17" s="83" t="inlineStr">
        <is>
          <t>uav_requirements.docx</t>
        </is>
      </c>
      <c r="E17" s="19" t="inlineStr">
        <is>
          <t>3× — identical parameter set</t>
        </is>
      </c>
    </row>
    <row r="18" ht="36" customHeight="1">
      <c r="A18" s="86" t="inlineStr">
        <is>
          <t>gps_nmea_parser</t>
        </is>
      </c>
      <c r="B18" s="87" t="inlineStr">
        <is>
          <t>Comms</t>
        </is>
      </c>
      <c r="C18" s="19" t="inlineStr">
        <is>
          <t>AI-generated</t>
        </is>
      </c>
      <c r="D18" s="83" t="inlineStr">
        <is>
          <t>uav_requirements.docx</t>
        </is>
      </c>
      <c r="E18" s="19" t="inlineStr">
        <is>
          <t>3× — identical parameter set</t>
        </is>
      </c>
    </row>
    <row r="19" ht="36" customHeight="1">
      <c r="A19" s="86" t="inlineStr">
        <is>
          <t>isl_parallel_tx</t>
        </is>
      </c>
      <c r="B19" s="87" t="inlineStr">
        <is>
          <t>Comms</t>
        </is>
      </c>
      <c r="C19" s="19" t="inlineStr">
        <is>
          <t>AI-generated</t>
        </is>
      </c>
      <c r="D19" s="83" t="inlineStr">
        <is>
          <t>AI-generated (CS Req / block_diagram.docx)</t>
        </is>
      </c>
      <c r="E19" s="19" t="inlineStr">
        <is>
          <t>3× — identical parameter set</t>
        </is>
      </c>
    </row>
    <row r="20" ht="36" customHeight="1">
      <c r="A20" s="86" t="inlineStr">
        <is>
          <t>isl_parallel_rx</t>
        </is>
      </c>
      <c r="B20" s="87" t="inlineStr">
        <is>
          <t>Comms</t>
        </is>
      </c>
      <c r="C20" s="19" t="inlineStr">
        <is>
          <t>AI-generated</t>
        </is>
      </c>
      <c r="D20" s="83" t="inlineStr">
        <is>
          <t>AI-generated (CVG Req)</t>
        </is>
      </c>
      <c r="E20" s="19" t="inlineStr">
        <is>
          <t>3× — identical parameter set</t>
        </is>
      </c>
    </row>
    <row r="21" ht="36" customHeight="1">
      <c r="A21" s="86" t="inlineStr">
        <is>
          <t>ccsds_telemetry_encoder</t>
        </is>
      </c>
      <c r="B21" s="87" t="inlineStr">
        <is>
          <t>Comms</t>
        </is>
      </c>
      <c r="C21" s="19" t="inlineStr">
        <is>
          <t>AI-generated</t>
        </is>
      </c>
      <c r="D21" s="83" t="inlineStr">
        <is>
          <t>AI-generated (CS Req)</t>
        </is>
      </c>
      <c r="E21" s="19" t="inlineStr">
        <is>
          <t>3× — identical parameter set</t>
        </is>
      </c>
    </row>
    <row r="22" ht="36" customHeight="1">
      <c r="A22" s="88" t="inlineStr">
        <is>
          <t>cordic_sincos</t>
        </is>
      </c>
      <c r="B22" s="89" t="inlineStr">
        <is>
          <t>Math</t>
        </is>
      </c>
      <c r="C22" s="19" t="inlineStr">
        <is>
          <t>AI-generated (versioned)</t>
        </is>
      </c>
      <c r="D22" s="83" t="inlineStr">
        <is>
          <t>P-2.5 (cordic_spec.docx)</t>
        </is>
      </c>
      <c r="E22" s="19" t="inlineStr">
        <is>
          <t>1× — single instance</t>
        </is>
      </c>
    </row>
    <row r="23" ht="36" customHeight="1">
      <c r="A23" s="88" t="inlineStr">
        <is>
          <t>nr_inv_sqrt</t>
        </is>
      </c>
      <c r="B23" s="89" t="inlineStr">
        <is>
          <t>Math</t>
        </is>
      </c>
      <c r="C23" s="19" t="inlineStr">
        <is>
          <t>AI-generated</t>
        </is>
      </c>
      <c r="D23" s="83" t="inlineStr">
        <is>
          <t>APF spec (apf_spec.docx)</t>
        </is>
      </c>
      <c r="E23" s="19" t="inlineStr">
        <is>
          <t>1× — single instance</t>
        </is>
      </c>
    </row>
    <row r="24" ht="36" customHeight="1">
      <c r="A24" s="88" t="inlineStr">
        <is>
          <t>quat_multiply</t>
        </is>
      </c>
      <c r="B24" s="89" t="inlineStr">
        <is>
          <t>Math</t>
        </is>
      </c>
      <c r="C24" s="19" t="inlineStr">
        <is>
          <t>AI-generated (versioned)</t>
        </is>
      </c>
      <c r="D24" s="83" t="inlineStr">
        <is>
          <t>P-2.6 (quaternion_spec.docx)</t>
        </is>
      </c>
      <c r="E24" s="19" t="inlineStr">
        <is>
          <t>4× — identical parameter set</t>
        </is>
      </c>
    </row>
    <row r="25" ht="36" customHeight="1">
      <c r="A25" s="88" t="inlineStr">
        <is>
          <t>quat_normalize</t>
        </is>
      </c>
      <c r="B25" s="89" t="inlineStr">
        <is>
          <t>Math</t>
        </is>
      </c>
      <c r="C25" s="19" t="inlineStr">
        <is>
          <t>AI-generated (versioned)</t>
        </is>
      </c>
      <c r="D25" s="83" t="inlineStr">
        <is>
          <t>P-2.6</t>
        </is>
      </c>
      <c r="E25" s="19" t="inlineStr">
        <is>
          <t>3× — identical parameter set</t>
        </is>
      </c>
    </row>
    <row r="26" ht="36" customHeight="1">
      <c r="A26" s="88" t="inlineStr">
        <is>
          <t>quat_conjugate</t>
        </is>
      </c>
      <c r="B26" s="89" t="inlineStr">
        <is>
          <t>Math</t>
        </is>
      </c>
      <c r="C26" s="19" t="inlineStr">
        <is>
          <t>AI-generated (versioned)</t>
        </is>
      </c>
      <c r="D26" s="83" t="inlineStr">
        <is>
          <t>P-2.6</t>
        </is>
      </c>
      <c r="E26" s="19" t="inlineStr">
        <is>
          <t>6× — identical parameter set</t>
        </is>
      </c>
    </row>
    <row r="27" ht="36" customHeight="1">
      <c r="A27" s="88" t="inlineStr">
        <is>
          <t>crc16_ccitt</t>
        </is>
      </c>
      <c r="B27" s="89" t="inlineStr">
        <is>
          <t>Math</t>
        </is>
      </c>
      <c r="C27" s="19" t="inlineStr">
        <is>
          <t>AI-generated</t>
        </is>
      </c>
      <c r="D27" s="83" t="inlineStr">
        <is>
          <t>AI-generated (CS Req / ccsds_telemetry)</t>
        </is>
      </c>
      <c r="E27" s="19" t="inlineStr">
        <is>
          <t>3× — identical parameter set</t>
        </is>
      </c>
    </row>
    <row r="28" ht="36" customHeight="1">
      <c r="A28" s="88" t="inlineStr">
        <is>
          <t>crc16_mcrf4xx</t>
        </is>
      </c>
      <c r="B28" s="89" t="inlineStr">
        <is>
          <t>Math</t>
        </is>
      </c>
      <c r="C28" s="19" t="inlineStr">
        <is>
          <t>AI-generated</t>
        </is>
      </c>
      <c r="D28" s="83" t="inlineStr">
        <is>
          <t>AI-generated (UAV Req / mavlink_v2_stack)</t>
        </is>
      </c>
      <c r="E28" s="19" t="inlineStr">
        <is>
          <t>6× — identical parameter set</t>
        </is>
      </c>
    </row>
    <row r="29" ht="36" customHeight="1">
      <c r="A29" s="88" t="inlineStr">
        <is>
          <t>sgp4_kepler_solve</t>
        </is>
      </c>
      <c r="B29" s="89" t="inlineStr">
        <is>
          <t>Math</t>
        </is>
      </c>
      <c r="C29" s="19" t="inlineStr">
        <is>
          <t>AI-generated</t>
        </is>
      </c>
      <c r="D29" s="83" t="inlineStr">
        <is>
          <t>CS Req / sgp4_orbit_propagator</t>
        </is>
      </c>
      <c r="E29" s="19" t="inlineStr">
        <is>
          <t>3× — identical parameter set</t>
        </is>
      </c>
    </row>
    <row r="30" ht="36" customHeight="1">
      <c r="A30" s="88" t="inlineStr">
        <is>
          <t>rotation_matrix_build</t>
        </is>
      </c>
      <c r="B30" s="89" t="inlineStr">
        <is>
          <t>Math</t>
        </is>
      </c>
      <c r="C30" s="19" t="inlineStr">
        <is>
          <t>AI-generated</t>
        </is>
      </c>
      <c r="D30" s="83" t="inlineStr">
        <is>
          <t>AI-generated (EKF9 spec)</t>
        </is>
      </c>
      <c r="E30" s="19" t="inlineStr">
        <is>
          <t>3× — identical parameter set</t>
        </is>
      </c>
    </row>
    <row r="31" ht="36" customHeight="1">
      <c r="A31" s="90" t="inlineStr">
        <is>
          <t>async_fifo</t>
        </is>
      </c>
      <c r="B31" s="91" t="inlineStr">
        <is>
          <t>Utilities</t>
        </is>
      </c>
      <c r="C31" s="19" t="inlineStr">
        <is>
          <t>AI-generated</t>
        </is>
      </c>
      <c r="D31" s="83" t="inlineStr">
        <is>
          <t>clock_distribution.docx</t>
        </is>
      </c>
      <c r="E31" s="19" t="inlineStr">
        <is>
          <t>6× — identical parameter set</t>
        </is>
      </c>
    </row>
    <row r="32" ht="36" customHeight="1">
      <c r="A32" s="90" t="inlineStr">
        <is>
          <t>sync_2ff</t>
        </is>
      </c>
      <c r="B32" s="91" t="inlineStr">
        <is>
          <t>Utilities</t>
        </is>
      </c>
      <c r="C32" s="19" t="inlineStr">
        <is>
          <t>AI-generated</t>
        </is>
      </c>
      <c r="D32" s="83" t="inlineStr">
        <is>
          <t>clock_distribution.docx</t>
        </is>
      </c>
      <c r="E32" s="19" t="inlineStr">
        <is>
          <t>8× — identical parameter set</t>
        </is>
      </c>
    </row>
    <row r="33" ht="36" customHeight="1">
      <c r="A33" s="90" t="inlineStr">
        <is>
          <t>gray_encoder</t>
        </is>
      </c>
      <c r="B33" s="91" t="inlineStr">
        <is>
          <t>Utilities</t>
        </is>
      </c>
      <c r="C33" s="19" t="inlineStr">
        <is>
          <t>AI-generated</t>
        </is>
      </c>
      <c r="D33" s="83" t="inlineStr">
        <is>
          <t>AI-generated (clock_distribution.docx)</t>
        </is>
      </c>
      <c r="E33" s="19" t="inlineStr">
        <is>
          <t>4× — identical parameter set</t>
        </is>
      </c>
    </row>
    <row r="34" ht="36" customHeight="1">
      <c r="A34" s="90" t="inlineStr">
        <is>
          <t>reset_sync</t>
        </is>
      </c>
      <c r="B34" s="91" t="inlineStr">
        <is>
          <t>Utilities</t>
        </is>
      </c>
      <c r="C34" s="19" t="inlineStr">
        <is>
          <t>AI-generated</t>
        </is>
      </c>
      <c r="D34" s="83" t="inlineStr">
        <is>
          <t>clock_distribution.docx</t>
        </is>
      </c>
      <c r="E34" s="19" t="inlineStr">
        <is>
          <t>2× — identical parameter set</t>
        </is>
      </c>
    </row>
    <row r="35" ht="36" customHeight="1">
      <c r="A35" s="90" t="inlineStr">
        <is>
          <t>ce_strobe_gen</t>
        </is>
      </c>
      <c r="B35" s="91" t="inlineStr">
        <is>
          <t>Utilities</t>
        </is>
      </c>
      <c r="C35" s="19" t="inlineStr">
        <is>
          <t>AI-generated</t>
        </is>
      </c>
      <c r="D35" s="83" t="inlineStr">
        <is>
          <t>clock_distribution.docx</t>
        </is>
      </c>
      <c r="E35" s="19" t="inlineStr">
        <is>
          <t>1× — single instance</t>
        </is>
      </c>
    </row>
    <row r="36" ht="36" customHeight="1">
      <c r="A36" s="90" t="inlineStr">
        <is>
          <t>watchdog_timer</t>
        </is>
      </c>
      <c r="B36" s="91" t="inlineStr">
        <is>
          <t>Utilities</t>
        </is>
      </c>
      <c r="C36" s="19" t="inlineStr">
        <is>
          <t>AI-generated</t>
        </is>
      </c>
      <c r="D36" s="83" t="inlineStr">
        <is>
          <t>AI-generated (fault manager)</t>
        </is>
      </c>
      <c r="E36" s="19" t="inlineStr">
        <is>
          <t>9× — identical parameter set</t>
        </is>
      </c>
    </row>
    <row r="37" ht="36" customHeight="1">
      <c r="A37" s="90" t="inlineStr">
        <is>
          <t>pwm_generator</t>
        </is>
      </c>
      <c r="B37" s="91" t="inlineStr">
        <is>
          <t>Utilities</t>
        </is>
      </c>
      <c r="C37" s="19" t="inlineStr">
        <is>
          <t>AI-generated</t>
        </is>
      </c>
      <c r="D37" s="83" t="inlineStr">
        <is>
          <t>AI-generated (I/O Spec)</t>
        </is>
      </c>
      <c r="E37" s="19" t="inlineStr">
        <is>
          <t>13× — identical parameter set</t>
        </is>
      </c>
    </row>
    <row r="38" ht="36" customHeight="1">
      <c r="A38" s="90" t="inlineStr">
        <is>
          <t>stepper_controller</t>
        </is>
      </c>
      <c r="B38" s="91" t="inlineStr">
        <is>
          <t>Utilities</t>
        </is>
      </c>
      <c r="C38" s="19" t="inlineStr">
        <is>
          <t>AI-generated</t>
        </is>
      </c>
      <c r="D38" s="83" t="inlineStr">
        <is>
          <t>AI-generated (CS Req)</t>
        </is>
      </c>
      <c r="E38" s="19" t="inlineStr">
        <is>
          <t>6× — identical parameter set</t>
        </is>
      </c>
    </row>
    <row r="39" ht="36" customHeight="1">
      <c r="A39" s="90" t="inlineStr">
        <is>
          <t>tof_echo_capture</t>
        </is>
      </c>
      <c r="B39" s="91" t="inlineStr">
        <is>
          <t>Utilities</t>
        </is>
      </c>
      <c r="C39" s="19" t="inlineStr">
        <is>
          <t>AI-generated</t>
        </is>
      </c>
      <c r="D39" s="83" t="inlineStr">
        <is>
          <t>AI-generated (UAV Req)</t>
        </is>
      </c>
      <c r="E39" s="19" t="inlineStr">
        <is>
          <t>3× — identical parameter set</t>
        </is>
      </c>
    </row>
    <row r="40" ht="36" customHeight="1">
      <c r="A40" s="90" t="inlineStr">
        <is>
          <t>mavlink_fifo</t>
        </is>
      </c>
      <c r="B40" s="91" t="inlineStr">
        <is>
          <t>Utilities</t>
        </is>
      </c>
      <c r="C40" s="19" t="inlineStr">
        <is>
          <t>AI-generated</t>
        </is>
      </c>
      <c r="D40" s="83" t="inlineStr">
        <is>
          <t>AI-generated (UAV Req / mavlink_v2_stack)</t>
        </is>
      </c>
      <c r="E40" s="19" t="inlineStr">
        <is>
          <t>3× — identical parameter set</t>
        </is>
      </c>
    </row>
    <row r="41" ht="36" customHeight="1">
      <c r="A41" s="92" t="inlineStr">
        <is>
          <t>clk_wiz_0</t>
        </is>
      </c>
      <c r="B41" s="93" t="inlineStr">
        <is>
          <t>System/Xilinx IP</t>
        </is>
      </c>
      <c r="C41" s="58" t="inlineStr">
        <is>
          <t>Xilinx IP/Primitive</t>
        </is>
      </c>
      <c r="D41" s="94" t="inlineStr">
        <is>
          <t>clock_distribution.docx / clk_arch_spec.docx</t>
        </is>
      </c>
      <c r="E41" s="58" t="inlineStr">
        <is>
          <t>1× — single instance</t>
        </is>
      </c>
    </row>
    <row r="42" ht="36" customHeight="1">
      <c r="A42" s="92" t="inlineStr">
        <is>
          <t>ila_0 (debug_ila_wrapper)</t>
        </is>
      </c>
      <c r="B42" s="93" t="inlineStr">
        <is>
          <t>System/Xilinx IP</t>
        </is>
      </c>
      <c r="C42" s="58" t="inlineStr">
        <is>
          <t>Xilinx IP/Primitive</t>
        </is>
      </c>
      <c r="D42" s="94" t="inlineStr">
        <is>
          <t>module_hierarchy.docx</t>
        </is>
      </c>
      <c r="E42" s="58" t="inlineStr">
        <is>
          <t>1× — single instance</t>
        </is>
      </c>
    </row>
    <row r="43" ht="36" customHeight="1">
      <c r="A43" s="92" t="inlineStr">
        <is>
          <t>xadc_monitor (XADC)</t>
        </is>
      </c>
      <c r="B43" s="93" t="inlineStr">
        <is>
          <t>System/Xilinx IP</t>
        </is>
      </c>
      <c r="C43" s="58" t="inlineStr">
        <is>
          <t>Xilinx IP/Primitive</t>
        </is>
      </c>
      <c r="D43" s="94" t="inlineStr">
        <is>
          <t>power_budget.docx</t>
        </is>
      </c>
      <c r="E43" s="58" t="inlineStr">
        <is>
          <t>1× — single instance</t>
        </is>
      </c>
    </row>
    <row r="44" ht="36" customHeight="1">
      <c r="A44" s="92" t="inlineStr">
        <is>
          <t>BUFG (global clock buffer)</t>
        </is>
      </c>
      <c r="B44" s="93" t="inlineStr">
        <is>
          <t>System/Xilinx IP</t>
        </is>
      </c>
      <c r="C44" s="58" t="inlineStr">
        <is>
          <t>Xilinx IP/Primitive</t>
        </is>
      </c>
      <c r="D44" s="94" t="inlineStr">
        <is>
          <t>clock_distribution.docx</t>
        </is>
      </c>
      <c r="E44" s="58" t="inlineStr">
        <is>
          <t>2× — identical parameter set</t>
        </is>
      </c>
    </row>
    <row r="45" ht="36" customHeight="1">
      <c r="A45" s="92" t="inlineStr">
        <is>
          <t>ODDR (output DDR FF)</t>
        </is>
      </c>
      <c r="B45" s="93" t="inlineStr">
        <is>
          <t>System/Xilinx IP</t>
        </is>
      </c>
      <c r="C45" s="58" t="inlineStr">
        <is>
          <t>Xilinx IP/Primitive</t>
        </is>
      </c>
      <c r="D45" s="94" t="inlineStr">
        <is>
          <t>Xilinx Primitive</t>
        </is>
      </c>
      <c r="E45" s="58" t="inlineStr">
        <is>
          <t>24× — identical parameter set</t>
        </is>
      </c>
    </row>
    <row r="46" ht="36" customHeight="1">
      <c r="A46" s="92" t="inlineStr">
        <is>
          <t>IDDR (input DDR FF)</t>
        </is>
      </c>
      <c r="B46" s="93" t="inlineStr">
        <is>
          <t>System/Xilinx IP</t>
        </is>
      </c>
      <c r="C46" s="58" t="inlineStr">
        <is>
          <t>Xilinx IP/Primitive</t>
        </is>
      </c>
      <c r="D46" s="94" t="inlineStr">
        <is>
          <t>Xilinx Primitive</t>
        </is>
      </c>
      <c r="E46" s="58" t="inlineStr">
        <is>
          <t>24× — identical parameter set</t>
        </is>
      </c>
    </row>
    <row r="47" ht="36" customHeight="1">
      <c r="A47" s="92" t="inlineStr">
        <is>
          <t>axi_lite_interconnect</t>
        </is>
      </c>
      <c r="B47" s="93" t="inlineStr">
        <is>
          <t>System/Xilinx IP</t>
        </is>
      </c>
      <c r="C47" s="19" t="inlineStr">
        <is>
          <t>AI-generated</t>
        </is>
      </c>
      <c r="D47" s="83" t="inlineStr">
        <is>
          <t>axi4_register_map.xlsx</t>
        </is>
      </c>
      <c r="E47" s="19" t="inlineStr">
        <is>
          <t>1× — single instance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40" customWidth="1" min="7" max="7"/>
  </cols>
  <sheetData>
    <row r="1" ht="26" customHeight="1">
      <c r="A1" s="1" t="inlineStr">
        <is>
          <t>Fleet-Wide Instance Count  —  Per IP Core After Elaboration</t>
        </is>
      </c>
    </row>
    <row r="2" ht="30" customHeight="1">
      <c r="A2" s="80" t="inlineStr">
        <is>
          <t>Core Name</t>
        </is>
      </c>
      <c r="B2" s="80" t="inlineStr">
        <is>
          <t>Instances</t>
        </is>
      </c>
      <c r="C2" s="80" t="inlineStr">
        <is>
          <t>LUT×inst</t>
        </is>
      </c>
      <c r="D2" s="80" t="inlineStr">
        <is>
          <t>FF×inst</t>
        </is>
      </c>
      <c r="E2" s="80" t="inlineStr">
        <is>
          <t>DSP×inst</t>
        </is>
      </c>
      <c r="F2" s="80" t="inlineStr">
        <is>
          <t>BRAM×inst</t>
        </is>
      </c>
      <c r="G2" s="80" t="inlineStr">
        <is>
          <t>Elaboration Note</t>
        </is>
      </c>
    </row>
    <row r="3" ht="22" customHeight="1">
      <c r="A3" s="95" t="inlineStr">
        <is>
          <t>ODDR (output DDR FF)</t>
        </is>
      </c>
      <c r="B3" s="65" t="n">
        <v>24</v>
      </c>
      <c r="C3" s="77" t="n">
        <v>0</v>
      </c>
      <c r="D3" s="77" t="n">
        <v>0</v>
      </c>
      <c r="E3" s="77" t="n">
        <v>0</v>
      </c>
      <c r="F3" s="77" t="n">
        <v>0</v>
      </c>
      <c r="G3" s="96" t="inlineStr">
        <is>
          <t>×24 — multiple instances</t>
        </is>
      </c>
    </row>
    <row r="4" ht="22" customHeight="1">
      <c r="A4" s="95" t="inlineStr">
        <is>
          <t>IDDR (input DDR FF)</t>
        </is>
      </c>
      <c r="B4" s="65" t="n">
        <v>24</v>
      </c>
      <c r="C4" s="77" t="n">
        <v>0</v>
      </c>
      <c r="D4" s="77" t="n">
        <v>0</v>
      </c>
      <c r="E4" s="77" t="n">
        <v>0</v>
      </c>
      <c r="F4" s="77" t="n">
        <v>0</v>
      </c>
      <c r="G4" s="96" t="inlineStr">
        <is>
          <t>×24 — multiple instances</t>
        </is>
      </c>
    </row>
    <row r="5" ht="22" customHeight="1">
      <c r="A5" s="97" t="inlineStr">
        <is>
          <t>pwm_generator</t>
        </is>
      </c>
      <c r="B5" s="49" t="n">
        <v>13</v>
      </c>
      <c r="C5" s="75" t="n">
        <v>104</v>
      </c>
      <c r="D5" s="75" t="n">
        <v>156</v>
      </c>
      <c r="E5" s="75" t="n">
        <v>0</v>
      </c>
      <c r="F5" s="75" t="n">
        <v>0</v>
      </c>
      <c r="G5" s="98" t="inlineStr">
        <is>
          <t>×13 — multiple instances</t>
        </is>
      </c>
    </row>
    <row r="6" ht="22" customHeight="1">
      <c r="A6" s="99" t="inlineStr">
        <is>
          <t>uart_rx</t>
        </is>
      </c>
      <c r="B6" s="30" t="n">
        <v>12</v>
      </c>
      <c r="C6" s="71" t="n">
        <v>192</v>
      </c>
      <c r="D6" s="71" t="n">
        <v>288</v>
      </c>
      <c r="E6" s="71" t="n">
        <v>0</v>
      </c>
      <c r="F6" s="71" t="n">
        <v>0</v>
      </c>
      <c r="G6" s="100" t="inlineStr">
        <is>
          <t>×12 — multiple instances</t>
        </is>
      </c>
    </row>
    <row r="7" ht="22" customHeight="1">
      <c r="A7" s="99" t="inlineStr">
        <is>
          <t>uart_tx</t>
        </is>
      </c>
      <c r="B7" s="30" t="n">
        <v>9</v>
      </c>
      <c r="C7" s="71" t="n">
        <v>144</v>
      </c>
      <c r="D7" s="71" t="n">
        <v>216</v>
      </c>
      <c r="E7" s="71" t="n">
        <v>0</v>
      </c>
      <c r="F7" s="71" t="n">
        <v>0</v>
      </c>
      <c r="G7" s="100" t="inlineStr">
        <is>
          <t>×9 — multiple instances</t>
        </is>
      </c>
    </row>
    <row r="8" ht="22" customHeight="1">
      <c r="A8" s="97" t="inlineStr">
        <is>
          <t>watchdog_timer</t>
        </is>
      </c>
      <c r="B8" s="49" t="n">
        <v>9</v>
      </c>
      <c r="C8" s="75" t="n">
        <v>162</v>
      </c>
      <c r="D8" s="75" t="n">
        <v>234</v>
      </c>
      <c r="E8" s="75" t="n">
        <v>0</v>
      </c>
      <c r="F8" s="75" t="n">
        <v>0</v>
      </c>
      <c r="G8" s="98" t="inlineStr">
        <is>
          <t>×9 — multiple instances</t>
        </is>
      </c>
    </row>
    <row r="9" ht="22" customHeight="1">
      <c r="A9" s="97" t="inlineStr">
        <is>
          <t>sync_2ff</t>
        </is>
      </c>
      <c r="B9" s="49" t="n">
        <v>8</v>
      </c>
      <c r="C9" s="75" t="n">
        <v>0</v>
      </c>
      <c r="D9" s="75" t="n">
        <v>32</v>
      </c>
      <c r="E9" s="75" t="n">
        <v>0</v>
      </c>
      <c r="F9" s="75" t="n">
        <v>0</v>
      </c>
      <c r="G9" s="98" t="inlineStr">
        <is>
          <t>×8 — multiple instances</t>
        </is>
      </c>
    </row>
    <row r="10" ht="22" customHeight="1">
      <c r="A10" s="101" t="inlineStr">
        <is>
          <t>rate_limiter</t>
        </is>
      </c>
      <c r="B10" s="15" t="n">
        <v>6</v>
      </c>
      <c r="C10" s="67" t="n">
        <v>36</v>
      </c>
      <c r="D10" s="67" t="n">
        <v>48</v>
      </c>
      <c r="E10" s="67" t="n">
        <v>0</v>
      </c>
      <c r="F10" s="67" t="n">
        <v>0</v>
      </c>
      <c r="G10" s="102" t="inlineStr">
        <is>
          <t>×6 — multiple instances</t>
        </is>
      </c>
    </row>
    <row r="11" ht="22" customHeight="1">
      <c r="A11" s="99" t="inlineStr">
        <is>
          <t>spi_master</t>
        </is>
      </c>
      <c r="B11" s="30" t="n">
        <v>6</v>
      </c>
      <c r="C11" s="71" t="n">
        <v>120</v>
      </c>
      <c r="D11" s="71" t="n">
        <v>192</v>
      </c>
      <c r="E11" s="71" t="n">
        <v>0</v>
      </c>
      <c r="F11" s="71" t="n">
        <v>0</v>
      </c>
      <c r="G11" s="100" t="inlineStr">
        <is>
          <t>×6 — multiple instances</t>
        </is>
      </c>
    </row>
    <row r="12" ht="22" customHeight="1">
      <c r="A12" s="103" t="inlineStr">
        <is>
          <t>quat_conjugate</t>
        </is>
      </c>
      <c r="B12" s="44" t="n">
        <v>6</v>
      </c>
      <c r="C12" s="73" t="n">
        <v>24</v>
      </c>
      <c r="D12" s="73" t="n">
        <v>48</v>
      </c>
      <c r="E12" s="73" t="n">
        <v>0</v>
      </c>
      <c r="F12" s="73" t="n">
        <v>0</v>
      </c>
      <c r="G12" s="104" t="inlineStr">
        <is>
          <t>×6 — multiple instances</t>
        </is>
      </c>
    </row>
    <row r="13" ht="22" customHeight="1">
      <c r="A13" s="103" t="inlineStr">
        <is>
          <t>crc16_mcrf4xx</t>
        </is>
      </c>
      <c r="B13" s="44" t="n">
        <v>6</v>
      </c>
      <c r="C13" s="73" t="n">
        <v>192</v>
      </c>
      <c r="D13" s="73" t="n">
        <v>96</v>
      </c>
      <c r="E13" s="73" t="n">
        <v>0</v>
      </c>
      <c r="F13" s="73" t="n">
        <v>0</v>
      </c>
      <c r="G13" s="104" t="inlineStr">
        <is>
          <t>×6 — multiple instances</t>
        </is>
      </c>
    </row>
    <row r="14" ht="22" customHeight="1">
      <c r="A14" s="97" t="inlineStr">
        <is>
          <t>async_fifo</t>
        </is>
      </c>
      <c r="B14" s="49" t="n">
        <v>6</v>
      </c>
      <c r="C14" s="75" t="n">
        <v>288</v>
      </c>
      <c r="D14" s="75" t="n">
        <v>576</v>
      </c>
      <c r="E14" s="75" t="n">
        <v>0</v>
      </c>
      <c r="F14" s="75" t="n">
        <v>0</v>
      </c>
      <c r="G14" s="98" t="inlineStr">
        <is>
          <t>×6 — multiple instances</t>
        </is>
      </c>
    </row>
    <row r="15" ht="22" customHeight="1">
      <c r="A15" s="97" t="inlineStr">
        <is>
          <t>stepper_controller</t>
        </is>
      </c>
      <c r="B15" s="49" t="n">
        <v>6</v>
      </c>
      <c r="C15" s="75" t="n">
        <v>360</v>
      </c>
      <c r="D15" s="75" t="n">
        <v>480</v>
      </c>
      <c r="E15" s="75" t="n">
        <v>0</v>
      </c>
      <c r="F15" s="75" t="n">
        <v>0</v>
      </c>
      <c r="G15" s="98" t="inlineStr">
        <is>
          <t>×6 — multiple instances</t>
        </is>
      </c>
    </row>
    <row r="16" ht="22" customHeight="1">
      <c r="A16" s="105" t="inlineStr">
        <is>
          <t>ekf_covariance</t>
        </is>
      </c>
      <c r="B16" s="106" t="n">
        <v>4</v>
      </c>
      <c r="C16" s="69" t="n">
        <v>560</v>
      </c>
      <c r="D16" s="69" t="n">
        <v>720</v>
      </c>
      <c r="E16" s="69" t="n">
        <v>0</v>
      </c>
      <c r="F16" s="69" t="n">
        <v>4</v>
      </c>
      <c r="G16" s="107" t="inlineStr">
        <is>
          <t>×4 — multiple instances</t>
        </is>
      </c>
    </row>
    <row r="17" ht="22" customHeight="1">
      <c r="A17" s="103" t="inlineStr">
        <is>
          <t>quat_multiply</t>
        </is>
      </c>
      <c r="B17" s="108" t="n">
        <v>4</v>
      </c>
      <c r="C17" s="73" t="n">
        <v>192</v>
      </c>
      <c r="D17" s="73" t="n">
        <v>256</v>
      </c>
      <c r="E17" s="73" t="n">
        <v>0</v>
      </c>
      <c r="F17" s="73" t="n">
        <v>0</v>
      </c>
      <c r="G17" s="104" t="inlineStr">
        <is>
          <t>×4 — multiple instances</t>
        </is>
      </c>
    </row>
    <row r="18" ht="22" customHeight="1">
      <c r="A18" s="97" t="inlineStr">
        <is>
          <t>gray_encoder</t>
        </is>
      </c>
      <c r="B18" s="109" t="n">
        <v>4</v>
      </c>
      <c r="C18" s="75" t="n">
        <v>16</v>
      </c>
      <c r="D18" s="75" t="n">
        <v>16</v>
      </c>
      <c r="E18" s="75" t="n">
        <v>0</v>
      </c>
      <c r="F18" s="75" t="n">
        <v>0</v>
      </c>
      <c r="G18" s="98" t="inlineStr">
        <is>
          <t>×4 — multiple instances</t>
        </is>
      </c>
    </row>
    <row r="19" ht="22" customHeight="1">
      <c r="A19" s="105" t="inlineStr">
        <is>
          <t>quat_ekf_7state</t>
        </is>
      </c>
      <c r="B19" s="106" t="n">
        <v>3</v>
      </c>
      <c r="C19" s="69" t="n">
        <v>1140</v>
      </c>
      <c r="D19" s="69" t="n">
        <v>1560</v>
      </c>
      <c r="E19" s="69" t="n">
        <v>3</v>
      </c>
      <c r="F19" s="69" t="n">
        <v>3</v>
      </c>
      <c r="G19" s="107" t="inlineStr">
        <is>
          <t>×3 — separate register banks, same RTL</t>
        </is>
      </c>
    </row>
    <row r="20" ht="22" customHeight="1">
      <c r="A20" s="105" t="inlineStr">
        <is>
          <t>ekf_9state_navigator</t>
        </is>
      </c>
      <c r="B20" s="106" t="n">
        <v>3</v>
      </c>
      <c r="C20" s="69" t="n">
        <v>1080</v>
      </c>
      <c r="D20" s="69" t="n">
        <v>1440</v>
      </c>
      <c r="E20" s="69" t="n">
        <v>9</v>
      </c>
      <c r="F20" s="69" t="n">
        <v>3</v>
      </c>
      <c r="G20" s="107" t="inlineStr">
        <is>
          <t>×3 — separate register banks, same RTL</t>
        </is>
      </c>
    </row>
    <row r="21" ht="22" customHeight="1">
      <c r="A21" s="99" t="inlineStr">
        <is>
          <t>spi_master (baro)</t>
        </is>
      </c>
      <c r="B21" s="110" t="n">
        <v>3</v>
      </c>
      <c r="C21" s="71" t="n">
        <v>60</v>
      </c>
      <c r="D21" s="71" t="n">
        <v>96</v>
      </c>
      <c r="E21" s="71" t="n">
        <v>0</v>
      </c>
      <c r="F21" s="71" t="n">
        <v>0</v>
      </c>
      <c r="G21" s="100" t="inlineStr">
        <is>
          <t>×3 — separate register banks, same RTL</t>
        </is>
      </c>
    </row>
    <row r="22" ht="22" customHeight="1">
      <c r="A22" s="99" t="inlineStr">
        <is>
          <t>i2c_master</t>
        </is>
      </c>
      <c r="B22" s="110" t="n">
        <v>3</v>
      </c>
      <c r="C22" s="71" t="n">
        <v>144</v>
      </c>
      <c r="D22" s="71" t="n">
        <v>192</v>
      </c>
      <c r="E22" s="71" t="n">
        <v>0</v>
      </c>
      <c r="F22" s="71" t="n">
        <v>0</v>
      </c>
      <c r="G22" s="100" t="inlineStr">
        <is>
          <t>×3 — separate register banks, same RTL</t>
        </is>
      </c>
    </row>
    <row r="23" ht="22" customHeight="1">
      <c r="A23" s="99" t="inlineStr">
        <is>
          <t>mavlink_v2_stack</t>
        </is>
      </c>
      <c r="B23" s="110" t="n">
        <v>3</v>
      </c>
      <c r="C23" s="71" t="n">
        <v>600</v>
      </c>
      <c r="D23" s="71" t="n">
        <v>840</v>
      </c>
      <c r="E23" s="71" t="n">
        <v>0</v>
      </c>
      <c r="F23" s="71" t="n">
        <v>3</v>
      </c>
      <c r="G23" s="100" t="inlineStr">
        <is>
          <t>×3 — separate register banks, same RTL</t>
        </is>
      </c>
    </row>
    <row r="24" ht="22" customHeight="1">
      <c r="A24" s="99" t="inlineStr">
        <is>
          <t>gps_nmea_parser</t>
        </is>
      </c>
      <c r="B24" s="110" t="n">
        <v>3</v>
      </c>
      <c r="C24" s="71" t="n">
        <v>150</v>
      </c>
      <c r="D24" s="71" t="n">
        <v>204</v>
      </c>
      <c r="E24" s="71" t="n">
        <v>0</v>
      </c>
      <c r="F24" s="71" t="n">
        <v>0</v>
      </c>
      <c r="G24" s="100" t="inlineStr">
        <is>
          <t>×3 — separate register banks, same RTL</t>
        </is>
      </c>
    </row>
    <row r="25" ht="22" customHeight="1">
      <c r="A25" s="99" t="inlineStr">
        <is>
          <t>isl_parallel_tx</t>
        </is>
      </c>
      <c r="B25" s="110" t="n">
        <v>3</v>
      </c>
      <c r="C25" s="71" t="n">
        <v>48</v>
      </c>
      <c r="D25" s="71" t="n">
        <v>72</v>
      </c>
      <c r="E25" s="71" t="n">
        <v>0</v>
      </c>
      <c r="F25" s="71" t="n">
        <v>0</v>
      </c>
      <c r="G25" s="100" t="inlineStr">
        <is>
          <t>×3 — separate register banks, same RTL</t>
        </is>
      </c>
    </row>
    <row r="26" ht="22" customHeight="1">
      <c r="A26" s="99" t="inlineStr">
        <is>
          <t>isl_parallel_rx</t>
        </is>
      </c>
      <c r="B26" s="110" t="n">
        <v>3</v>
      </c>
      <c r="C26" s="71" t="n">
        <v>72</v>
      </c>
      <c r="D26" s="71" t="n">
        <v>108</v>
      </c>
      <c r="E26" s="71" t="n">
        <v>0</v>
      </c>
      <c r="F26" s="71" t="n">
        <v>0</v>
      </c>
      <c r="G26" s="100" t="inlineStr">
        <is>
          <t>×3 — separate register banks, same RTL</t>
        </is>
      </c>
    </row>
    <row r="27" ht="22" customHeight="1">
      <c r="A27" s="99" t="inlineStr">
        <is>
          <t>ccsds_telemetry_encoder</t>
        </is>
      </c>
      <c r="B27" s="110" t="n">
        <v>3</v>
      </c>
      <c r="C27" s="71" t="n">
        <v>360</v>
      </c>
      <c r="D27" s="71" t="n">
        <v>480</v>
      </c>
      <c r="E27" s="71" t="n">
        <v>0</v>
      </c>
      <c r="F27" s="71" t="n">
        <v>0</v>
      </c>
      <c r="G27" s="100" t="inlineStr">
        <is>
          <t>×3 — separate register banks, same RTL</t>
        </is>
      </c>
    </row>
    <row r="28" ht="22" customHeight="1">
      <c r="A28" s="103" t="inlineStr">
        <is>
          <t>quat_normalize</t>
        </is>
      </c>
      <c r="B28" s="108" t="n">
        <v>3</v>
      </c>
      <c r="C28" s="73" t="n">
        <v>180</v>
      </c>
      <c r="D28" s="73" t="n">
        <v>240</v>
      </c>
      <c r="E28" s="73" t="n">
        <v>3</v>
      </c>
      <c r="F28" s="73" t="n">
        <v>0</v>
      </c>
      <c r="G28" s="104" t="inlineStr">
        <is>
          <t>×3 — separate register banks, same RTL</t>
        </is>
      </c>
    </row>
    <row r="29" ht="22" customHeight="1">
      <c r="A29" s="103" t="inlineStr">
        <is>
          <t>crc16_ccitt</t>
        </is>
      </c>
      <c r="B29" s="108" t="n">
        <v>3</v>
      </c>
      <c r="C29" s="73" t="n">
        <v>96</v>
      </c>
      <c r="D29" s="73" t="n">
        <v>48</v>
      </c>
      <c r="E29" s="73" t="n">
        <v>0</v>
      </c>
      <c r="F29" s="73" t="n">
        <v>0</v>
      </c>
      <c r="G29" s="104" t="inlineStr">
        <is>
          <t>×3 — separate register banks, same RTL</t>
        </is>
      </c>
    </row>
    <row r="30" ht="22" customHeight="1">
      <c r="A30" s="103" t="inlineStr">
        <is>
          <t>sgp4_kepler_solve</t>
        </is>
      </c>
      <c r="B30" s="108" t="n">
        <v>3</v>
      </c>
      <c r="C30" s="73" t="n">
        <v>360</v>
      </c>
      <c r="D30" s="73" t="n">
        <v>480</v>
      </c>
      <c r="E30" s="73" t="n">
        <v>9</v>
      </c>
      <c r="F30" s="73" t="n">
        <v>0</v>
      </c>
      <c r="G30" s="104" t="inlineStr">
        <is>
          <t>×3 — separate register banks, same RTL</t>
        </is>
      </c>
    </row>
    <row r="31" ht="22" customHeight="1">
      <c r="A31" s="103" t="inlineStr">
        <is>
          <t>rotation_matrix_build</t>
        </is>
      </c>
      <c r="B31" s="108" t="n">
        <v>3</v>
      </c>
      <c r="C31" s="73" t="n">
        <v>108</v>
      </c>
      <c r="D31" s="73" t="n">
        <v>144</v>
      </c>
      <c r="E31" s="73" t="n">
        <v>0</v>
      </c>
      <c r="F31" s="73" t="n">
        <v>0</v>
      </c>
      <c r="G31" s="104" t="inlineStr">
        <is>
          <t>×3 — separate register banks, same RTL</t>
        </is>
      </c>
    </row>
    <row r="32" ht="22" customHeight="1">
      <c r="A32" s="97" t="inlineStr">
        <is>
          <t>tof_echo_capture</t>
        </is>
      </c>
      <c r="B32" s="109" t="n">
        <v>3</v>
      </c>
      <c r="C32" s="75" t="n">
        <v>48</v>
      </c>
      <c r="D32" s="75" t="n">
        <v>72</v>
      </c>
      <c r="E32" s="75" t="n">
        <v>0</v>
      </c>
      <c r="F32" s="75" t="n">
        <v>0</v>
      </c>
      <c r="G32" s="98" t="inlineStr">
        <is>
          <t>×3 — separate register banks, same RTL</t>
        </is>
      </c>
    </row>
    <row r="33" ht="22" customHeight="1">
      <c r="A33" s="97" t="inlineStr">
        <is>
          <t>mavlink_fifo</t>
        </is>
      </c>
      <c r="B33" s="109" t="n">
        <v>3</v>
      </c>
      <c r="C33" s="75" t="n">
        <v>60</v>
      </c>
      <c r="D33" s="75" t="n">
        <v>84</v>
      </c>
      <c r="E33" s="75" t="n">
        <v>0</v>
      </c>
      <c r="F33" s="75" t="n">
        <v>3</v>
      </c>
      <c r="G33" s="98" t="inlineStr">
        <is>
          <t>×3 — separate register banks, same RTL</t>
        </is>
      </c>
    </row>
    <row r="34" ht="22" customHeight="1">
      <c r="A34" s="97" t="inlineStr">
        <is>
          <t>reset_sync</t>
        </is>
      </c>
      <c r="B34" s="109" t="n">
        <v>2</v>
      </c>
      <c r="C34" s="75" t="n">
        <v>0</v>
      </c>
      <c r="D34" s="75" t="n">
        <v>8</v>
      </c>
      <c r="E34" s="75" t="n">
        <v>0</v>
      </c>
      <c r="F34" s="75" t="n">
        <v>0</v>
      </c>
      <c r="G34" s="98" t="inlineStr">
        <is>
          <t>×2 — separate register banks, same RTL</t>
        </is>
      </c>
    </row>
    <row r="35" ht="22" customHeight="1">
      <c r="A35" s="95" t="inlineStr">
        <is>
          <t>BUFG (global clock buffer)</t>
        </is>
      </c>
      <c r="B35" s="111" t="n">
        <v>2</v>
      </c>
      <c r="C35" s="77" t="n">
        <v>0</v>
      </c>
      <c r="D35" s="77" t="n">
        <v>0</v>
      </c>
      <c r="E35" s="77" t="n">
        <v>0</v>
      </c>
      <c r="F35" s="77" t="n">
        <v>0</v>
      </c>
      <c r="G35" s="96" t="inlineStr">
        <is>
          <t>×2 — separate register banks, same RTL</t>
        </is>
      </c>
    </row>
    <row r="36" ht="22" customHeight="1">
      <c r="A36" s="101" t="inlineStr">
        <is>
          <t>pid_engine</t>
        </is>
      </c>
      <c r="B36" s="112" t="n">
        <v>1</v>
      </c>
      <c r="C36" s="67" t="n">
        <v>120</v>
      </c>
      <c r="D36" s="67" t="n">
        <v>160</v>
      </c>
      <c r="E36" s="67" t="n">
        <v>4</v>
      </c>
      <c r="F36" s="67" t="n">
        <v>0</v>
      </c>
      <c r="G36" s="102" t="inlineStr">
        <is>
          <t>Single instance</t>
        </is>
      </c>
    </row>
    <row r="37" ht="22" customHeight="1">
      <c r="A37" s="101" t="inlineStr">
        <is>
          <t>pid_p_term</t>
        </is>
      </c>
      <c r="B37" s="112" t="n">
        <v>1</v>
      </c>
      <c r="C37" s="67" t="n">
        <v>20</v>
      </c>
      <c r="D37" s="67" t="n">
        <v>32</v>
      </c>
      <c r="E37" s="67" t="n">
        <v>1</v>
      </c>
      <c r="F37" s="67" t="n">
        <v>0</v>
      </c>
      <c r="G37" s="102" t="inlineStr">
        <is>
          <t>Single instance</t>
        </is>
      </c>
    </row>
    <row r="38" ht="22" customHeight="1">
      <c r="A38" s="101" t="inlineStr">
        <is>
          <t>pid_i_term</t>
        </is>
      </c>
      <c r="B38" s="112" t="n">
        <v>1</v>
      </c>
      <c r="C38" s="67" t="n">
        <v>24</v>
      </c>
      <c r="D38" s="67" t="n">
        <v>40</v>
      </c>
      <c r="E38" s="67" t="n">
        <v>2</v>
      </c>
      <c r="F38" s="67" t="n">
        <v>0</v>
      </c>
      <c r="G38" s="102" t="inlineStr">
        <is>
          <t>Single instance</t>
        </is>
      </c>
    </row>
    <row r="39" ht="22" customHeight="1">
      <c r="A39" s="101" t="inlineStr">
        <is>
          <t>pid_d_term</t>
        </is>
      </c>
      <c r="B39" s="112" t="n">
        <v>1</v>
      </c>
      <c r="C39" s="67" t="n">
        <v>20</v>
      </c>
      <c r="D39" s="67" t="n">
        <v>32</v>
      </c>
      <c r="E39" s="67" t="n">
        <v>1</v>
      </c>
      <c r="F39" s="67" t="n">
        <v>0</v>
      </c>
      <c r="G39" s="102" t="inlineStr">
        <is>
          <t>Single instance</t>
        </is>
      </c>
    </row>
    <row r="40" ht="22" customHeight="1">
      <c r="A40" s="105" t="inlineStr">
        <is>
          <t>multi_vehicle_kalman</t>
        </is>
      </c>
      <c r="B40" s="113" t="n">
        <v>1</v>
      </c>
      <c r="C40" s="69" t="n">
        <v>480</v>
      </c>
      <c r="D40" s="69" t="n">
        <v>640</v>
      </c>
      <c r="E40" s="69" t="n">
        <v>4</v>
      </c>
      <c r="F40" s="69" t="n">
        <v>2</v>
      </c>
      <c r="G40" s="107" t="inlineStr">
        <is>
          <t>Single instance</t>
        </is>
      </c>
    </row>
    <row r="41" ht="22" customHeight="1">
      <c r="A41" s="103" t="inlineStr">
        <is>
          <t>cordic_sincos</t>
        </is>
      </c>
      <c r="B41" s="114" t="n">
        <v>1</v>
      </c>
      <c r="C41" s="73" t="n">
        <v>200</v>
      </c>
      <c r="D41" s="73" t="n">
        <v>1056</v>
      </c>
      <c r="E41" s="73" t="n">
        <v>0</v>
      </c>
      <c r="F41" s="73" t="n">
        <v>0</v>
      </c>
      <c r="G41" s="104" t="inlineStr">
        <is>
          <t>Single instance</t>
        </is>
      </c>
    </row>
    <row r="42" ht="22" customHeight="1">
      <c r="A42" s="103" t="inlineStr">
        <is>
          <t>nr_inv_sqrt</t>
        </is>
      </c>
      <c r="B42" s="114" t="n">
        <v>1</v>
      </c>
      <c r="C42" s="73" t="n">
        <v>48</v>
      </c>
      <c r="D42" s="73" t="n">
        <v>64</v>
      </c>
      <c r="E42" s="73" t="n">
        <v>3</v>
      </c>
      <c r="F42" s="73" t="n">
        <v>1</v>
      </c>
      <c r="G42" s="104" t="inlineStr">
        <is>
          <t>Single instance</t>
        </is>
      </c>
    </row>
    <row r="43" ht="22" customHeight="1">
      <c r="A43" s="97" t="inlineStr">
        <is>
          <t>ce_strobe_gen</t>
        </is>
      </c>
      <c r="B43" s="115" t="n">
        <v>1</v>
      </c>
      <c r="C43" s="75" t="n">
        <v>48</v>
      </c>
      <c r="D43" s="75" t="n">
        <v>64</v>
      </c>
      <c r="E43" s="75" t="n">
        <v>0</v>
      </c>
      <c r="F43" s="75" t="n">
        <v>0</v>
      </c>
      <c r="G43" s="98" t="inlineStr">
        <is>
          <t>Single instance</t>
        </is>
      </c>
    </row>
    <row r="44" ht="22" customHeight="1">
      <c r="A44" s="95" t="inlineStr">
        <is>
          <t>clk_wiz_0</t>
        </is>
      </c>
      <c r="B44" s="116" t="n">
        <v>1</v>
      </c>
      <c r="C44" s="77" t="n">
        <v>8</v>
      </c>
      <c r="D44" s="77" t="n">
        <v>16</v>
      </c>
      <c r="E44" s="77" t="n">
        <v>0</v>
      </c>
      <c r="F44" s="77" t="n">
        <v>0</v>
      </c>
      <c r="G44" s="96" t="inlineStr">
        <is>
          <t>Single instance</t>
        </is>
      </c>
    </row>
    <row r="45" ht="22" customHeight="1">
      <c r="A45" s="95" t="inlineStr">
        <is>
          <t>ila_0 (debug_ila_wrapper)</t>
        </is>
      </c>
      <c r="B45" s="116" t="n">
        <v>1</v>
      </c>
      <c r="C45" s="77" t="n">
        <v>100</v>
      </c>
      <c r="D45" s="77" t="n">
        <v>200</v>
      </c>
      <c r="E45" s="77" t="n">
        <v>0</v>
      </c>
      <c r="F45" s="77" t="n">
        <v>1</v>
      </c>
      <c r="G45" s="96" t="inlineStr">
        <is>
          <t>Single instance</t>
        </is>
      </c>
    </row>
    <row r="46" ht="22" customHeight="1">
      <c r="A46" s="95" t="inlineStr">
        <is>
          <t>xadc_monitor (XADC)</t>
        </is>
      </c>
      <c r="B46" s="116" t="n">
        <v>1</v>
      </c>
      <c r="C46" s="77" t="n">
        <v>64</v>
      </c>
      <c r="D46" s="77" t="n">
        <v>80</v>
      </c>
      <c r="E46" s="77" t="n">
        <v>0</v>
      </c>
      <c r="F46" s="77" t="n">
        <v>0</v>
      </c>
      <c r="G46" s="96" t="inlineStr">
        <is>
          <t>Single instance</t>
        </is>
      </c>
    </row>
    <row r="47" ht="22" customHeight="1">
      <c r="A47" s="95" t="inlineStr">
        <is>
          <t>axi_lite_interconnect</t>
        </is>
      </c>
      <c r="B47" s="116" t="n">
        <v>1</v>
      </c>
      <c r="C47" s="77" t="n">
        <v>128</v>
      </c>
      <c r="D47" s="77" t="n">
        <v>160</v>
      </c>
      <c r="E47" s="77" t="n">
        <v>0</v>
      </c>
      <c r="F47" s="77" t="n">
        <v>0</v>
      </c>
      <c r="G47" s="96" t="inlineStr">
        <is>
          <t>Single instance</t>
        </is>
      </c>
    </row>
    <row r="48" ht="24" customHeight="1">
      <c r="A48" s="117" t="inlineStr">
        <is>
          <t>TOTAL (all cores)</t>
        </is>
      </c>
      <c r="B48" s="118">
        <f>SUM(B3:B47)</f>
        <v/>
      </c>
      <c r="C48" s="118">
        <f>SUM(C3:C47)</f>
        <v/>
      </c>
      <c r="D48" s="118">
        <f>SUM(D3:D47)</f>
        <v/>
      </c>
      <c r="E48" s="118">
        <f>SUM(E3:E47)</f>
        <v/>
      </c>
      <c r="F48" s="118">
        <f>SUM(F3:F47)</f>
        <v/>
      </c>
      <c r="G48" s="119" t="inlineStr">
        <is>
          <t>45 unique definitions, 208 elaborated instances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2026-03-31T08:29:08Z</dcterms:created>
  <dcterms:modified xmlns:dcterms="http://purl.org/dc/terms/" xmlns:xsi="http://www.w3.org/2001/XMLSchema-instance" xsi:type="dcterms:W3CDTF">2026-03-31T08:29:08Z</dcterms:modified>
</cp:coreProperties>
</file>