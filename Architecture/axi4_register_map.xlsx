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Map" sheetId="1" state="visible" r:id="rId1"/>
    <sheet xmlns:r="http://schemas.openxmlformats.org/officeDocument/2006/relationships" name="Bit-Field Detail" sheetId="2" state="visible" r:id="rId2"/>
    <sheet xmlns:r="http://schemas.openxmlformats.org/officeDocument/2006/relationships" name="Address Summary" sheetId="3" state="visible" r:id="rId3"/>
    <sheet xmlns:r="http://schemas.openxmlformats.org/officeDocument/2006/relationships" name="Fixed-Point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Courier New"/>
      <b val="1"/>
      <color rgb="001A3F6F"/>
      <sz val="10"/>
    </font>
    <font>
      <name val="Courier New"/>
      <b val="1"/>
      <color rgb="00111111"/>
      <sz val="10"/>
    </font>
    <font>
      <name val="Arial"/>
      <b val="1"/>
      <color rgb="001A5C38"/>
      <sz val="10"/>
    </font>
    <font>
      <name val="Courier New"/>
      <color rgb="00444444"/>
      <sz val="9"/>
    </font>
    <font>
      <name val="Arial"/>
      <color rgb="00111111"/>
      <sz val="10"/>
    </font>
    <font>
      <name val="Arial"/>
      <color rgb="00111111"/>
      <sz val="9"/>
    </font>
    <font>
      <name val="Arial"/>
      <b val="1"/>
      <color rgb="00888888"/>
      <sz val="10"/>
    </font>
    <font>
      <name val="Arial"/>
      <b val="1"/>
      <color rgb="00CC0000"/>
      <sz val="10"/>
    </font>
    <font>
      <name val="Courier New"/>
      <b val="1"/>
      <color rgb="00111111"/>
      <sz val="9"/>
    </font>
    <font>
      <name val="Arial"/>
      <b val="1"/>
      <color rgb="00111111"/>
      <sz val="10"/>
    </font>
    <font>
      <name val="Courier New"/>
      <b val="1"/>
      <color rgb="00FFFFFF"/>
      <sz val="10"/>
    </font>
    <font>
      <name val="Courier New"/>
      <b val="1"/>
      <color rgb="00000000"/>
      <sz val="10"/>
    </font>
    <font>
      <name val="Arial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1A5C38"/>
      </patternFill>
    </fill>
    <fill>
      <patternFill patternType="solid">
        <fgColor rgb="00D5F5E3"/>
      </patternFill>
    </fill>
    <fill>
      <patternFill patternType="solid">
        <fgColor rgb="00E8F5FF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7D4308"/>
      </patternFill>
    </fill>
    <fill>
      <patternFill patternType="solid">
        <fgColor rgb="00FDEBD0"/>
      </patternFill>
    </fill>
    <fill>
      <patternFill patternType="solid">
        <fgColor rgb="004A1A6B"/>
      </patternFill>
    </fill>
    <fill>
      <patternFill patternType="solid">
        <fgColor rgb="00EBD5F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D5F0F5"/>
      </patternFill>
    </fill>
  </fills>
  <borders count="4">
    <border>
      <left/>
      <right/>
      <top/>
      <bottom/>
      <diagonal/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left" vertical="center" wrapText="1"/>
    </xf>
    <xf numFmtId="0" fontId="11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left" vertical="center" wrapText="1"/>
    </xf>
    <xf numFmtId="0" fontId="12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10" borderId="3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2" borderId="3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left" vertical="center" wrapText="1"/>
    </xf>
    <xf numFmtId="0" fontId="14" fillId="5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left" vertical="center" wrapText="1"/>
    </xf>
    <xf numFmtId="0" fontId="5" fillId="13" borderId="3" applyAlignment="1" pivotButton="0" quotePrefix="0" xfId="0">
      <alignment horizontal="center" vertical="center" wrapText="1"/>
    </xf>
    <xf numFmtId="0" fontId="13" fillId="13" borderId="3" applyAlignment="1" pivotButton="0" quotePrefix="0" xfId="0">
      <alignment horizontal="left" vertical="center" wrapText="1"/>
    </xf>
    <xf numFmtId="0" fontId="14" fillId="13" borderId="3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center" wrapText="1"/>
    </xf>
    <xf numFmtId="0" fontId="7" fillId="13" borderId="3" applyAlignment="1" pivotButton="0" quotePrefix="0" xfId="0">
      <alignment horizontal="center" vertical="center" wrapText="1"/>
    </xf>
    <xf numFmtId="0" fontId="10" fillId="13" borderId="3" applyAlignment="1" pivotButton="0" quotePrefix="0" xfId="0">
      <alignment horizontal="left" vertical="center" wrapText="1"/>
    </xf>
    <xf numFmtId="0" fontId="13" fillId="12" borderId="3" applyAlignment="1" pivotButton="0" quotePrefix="0" xfId="0">
      <alignment horizontal="left" vertical="center" wrapText="1"/>
    </xf>
    <xf numFmtId="0" fontId="14" fillId="12" borderId="3" applyAlignment="1" pivotButton="0" quotePrefix="0" xfId="0">
      <alignment horizontal="center" vertical="center" wrapText="1"/>
    </xf>
    <xf numFmtId="0" fontId="6" fillId="12" borderId="3" applyAlignment="1" pivotButton="0" quotePrefix="0" xfId="0">
      <alignment horizontal="left" vertical="center" wrapText="1"/>
    </xf>
    <xf numFmtId="0" fontId="7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left" vertical="center" wrapText="1"/>
    </xf>
    <xf numFmtId="0" fontId="5" fillId="14" borderId="3" applyAlignment="1" pivotButton="0" quotePrefix="0" xfId="0">
      <alignment horizontal="center" vertical="center" wrapText="1"/>
    </xf>
    <xf numFmtId="0" fontId="13" fillId="14" borderId="3" applyAlignment="1" pivotButton="0" quotePrefix="0" xfId="0">
      <alignment horizontal="left" vertical="center" wrapText="1"/>
    </xf>
    <xf numFmtId="0" fontId="14" fillId="14" borderId="3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left" vertical="center" wrapText="1"/>
    </xf>
    <xf numFmtId="0" fontId="7" fillId="14" borderId="3" applyAlignment="1" pivotButton="0" quotePrefix="0" xfId="0">
      <alignment horizontal="center" vertical="center" wrapText="1"/>
    </xf>
    <xf numFmtId="0" fontId="10" fillId="14" borderId="3" applyAlignment="1" pivotButton="0" quotePrefix="0" xfId="0">
      <alignment horizontal="left" vertical="center" wrapText="1"/>
    </xf>
    <xf numFmtId="0" fontId="13" fillId="10" borderId="3" applyAlignment="1" pivotButton="0" quotePrefix="0" xfId="0">
      <alignment horizontal="left" vertical="center" wrapText="1"/>
    </xf>
    <xf numFmtId="0" fontId="14" fillId="10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left" vertical="center" wrapText="1"/>
    </xf>
    <xf numFmtId="0" fontId="7" fillId="10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left" vertical="center" wrapText="1"/>
    </xf>
    <xf numFmtId="0" fontId="5" fillId="15" borderId="3" applyAlignment="1" pivotButton="0" quotePrefix="0" xfId="0">
      <alignment horizontal="center" vertical="center" wrapText="1"/>
    </xf>
    <xf numFmtId="0" fontId="13" fillId="15" borderId="3" applyAlignment="1" pivotButton="0" quotePrefix="0" xfId="0">
      <alignment horizontal="left" vertical="center" wrapText="1"/>
    </xf>
    <xf numFmtId="0" fontId="14" fillId="15" borderId="3" applyAlignment="1" pivotButton="0" quotePrefix="0" xfId="0">
      <alignment horizontal="center" vertical="center" wrapText="1"/>
    </xf>
    <xf numFmtId="0" fontId="6" fillId="15" borderId="3" applyAlignment="1" pivotButton="0" quotePrefix="0" xfId="0">
      <alignment horizontal="left" vertical="center" wrapText="1"/>
    </xf>
    <xf numFmtId="0" fontId="7" fillId="15" borderId="3" applyAlignment="1" pivotButton="0" quotePrefix="0" xfId="0">
      <alignment horizontal="center" vertical="center" wrapText="1"/>
    </xf>
    <xf numFmtId="0" fontId="10" fillId="15" borderId="3" applyAlignment="1" pivotButton="0" quotePrefix="0" xfId="0">
      <alignment horizontal="left" vertical="center" wrapText="1"/>
    </xf>
    <xf numFmtId="0" fontId="5" fillId="8" borderId="3" applyAlignment="1" pivotButton="0" quotePrefix="0" xfId="0">
      <alignment horizontal="center" vertical="center" wrapText="1"/>
    </xf>
    <xf numFmtId="0" fontId="13" fillId="8" borderId="3" applyAlignment="1" pivotButton="0" quotePrefix="0" xfId="0">
      <alignment horizontal="left" vertical="center" wrapText="1"/>
    </xf>
    <xf numFmtId="0" fontId="14" fillId="8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center" vertical="center" wrapText="1"/>
    </xf>
    <xf numFmtId="0" fontId="11" fillId="13" borderId="3" applyAlignment="1" pivotButton="0" quotePrefix="0" xfId="0">
      <alignment horizontal="center" vertical="center" wrapText="1"/>
    </xf>
    <xf numFmtId="0" fontId="11" fillId="12" borderId="3" applyAlignment="1" pivotButton="0" quotePrefix="0" xfId="0">
      <alignment horizontal="center" vertical="center" wrapText="1"/>
    </xf>
    <xf numFmtId="0" fontId="11" fillId="14" borderId="3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center" vertical="center" wrapText="1"/>
    </xf>
    <xf numFmtId="0" fontId="11" fillId="15" borderId="3" applyAlignment="1" pivotButton="0" quotePrefix="0" xfId="0">
      <alignment horizontal="center" vertical="center" wrapText="1"/>
    </xf>
    <xf numFmtId="0" fontId="11" fillId="8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13" fillId="7" borderId="3" applyAlignment="1" pivotButton="0" quotePrefix="0" xfId="0">
      <alignment horizontal="left" vertical="center" wrapText="1"/>
    </xf>
    <xf numFmtId="0" fontId="14" fillId="7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12" fillId="13" borderId="3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center" vertical="center" wrapText="1"/>
    </xf>
    <xf numFmtId="0" fontId="12" fillId="14" borderId="3" applyAlignment="1" pivotButton="0" quotePrefix="0" xfId="0">
      <alignment horizontal="center" vertical="center" wrapText="1"/>
    </xf>
    <xf numFmtId="0" fontId="12" fillId="10" borderId="3" applyAlignment="1" pivotButton="0" quotePrefix="0" xfId="0">
      <alignment horizontal="center" vertical="center" wrapText="1"/>
    </xf>
    <xf numFmtId="0" fontId="12" fillId="15" borderId="3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left" vertical="center" wrapText="1"/>
    </xf>
    <xf numFmtId="0" fontId="15" fillId="9" borderId="3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left" vertical="center" wrapText="1"/>
    </xf>
    <xf numFmtId="0" fontId="15" fillId="11" borderId="3" applyAlignment="1" pivotButton="0" quotePrefix="0" xfId="0">
      <alignment horizontal="center" vertical="center" wrapText="1"/>
    </xf>
    <xf numFmtId="0" fontId="9" fillId="12" borderId="3" applyAlignment="1" pivotButton="0" quotePrefix="0" xfId="0">
      <alignment horizontal="center" vertical="center" wrapText="1"/>
    </xf>
    <xf numFmtId="0" fontId="9" fillId="12" borderId="3" applyAlignment="1" pivotButton="0" quotePrefix="0" xfId="0">
      <alignment horizontal="left" vertical="center" wrapText="1"/>
    </xf>
    <xf numFmtId="0" fontId="15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16" fillId="5" borderId="3" applyAlignment="1" pivotButton="0" quotePrefix="0" xfId="0">
      <alignment horizontal="left" vertical="center" wrapText="1"/>
    </xf>
    <xf numFmtId="0" fontId="17" fillId="5" borderId="3" applyAlignment="1" pivotButton="0" quotePrefix="0" xfId="0">
      <alignment horizontal="left" vertical="center" wrapText="1"/>
    </xf>
    <xf numFmtId="0" fontId="16" fillId="7" borderId="3" applyAlignment="1" pivotButton="0" quotePrefix="0" xfId="0">
      <alignment horizontal="left" vertical="center" wrapText="1"/>
    </xf>
    <xf numFmtId="0" fontId="17" fillId="7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" customWidth="1" min="3" max="3"/>
    <col width="14" customWidth="1" min="4" max="4"/>
    <col width="6" customWidth="1" min="5" max="5"/>
    <col width="62" customWidth="1" min="6" max="6"/>
    <col width="5" customWidth="1" min="7" max="7"/>
  </cols>
  <sheetData>
    <row r="1" ht="28" customHeight="1">
      <c r="A1" s="1" t="inlineStr">
        <is>
          <t>Convergence MVP — AXI4-Lite Configuration Register Map  |  All Subsystems  |  32-bit Registers  |  4-byte Aligned</t>
        </is>
      </c>
    </row>
    <row r="2" ht="16" customHeight="1">
      <c r="A2" s="2" t="inlineStr">
        <is>
          <t>0x0000 CS1  |  0x1000 CS2  |  0x2000 CS3  |  0x3000 UAV1  |  0x4000 UAV2  |  0x5000 UAV3  |  0x6000 Convergence Engine  |  28 KB address space</t>
        </is>
      </c>
    </row>
    <row r="3" ht="34" customHeight="1">
      <c r="A3" s="3" t="inlineStr">
        <is>
          <t>Address</t>
        </is>
      </c>
      <c r="B3" s="3" t="inlineStr">
        <is>
          <t>Register Name</t>
        </is>
      </c>
      <c r="C3" s="3" t="inlineStr">
        <is>
          <t>R/W</t>
        </is>
      </c>
      <c r="D3" s="3" t="inlineStr">
        <is>
          <t>Reset Value</t>
        </is>
      </c>
      <c r="E3" s="3" t="inlineStr">
        <is>
          <t>Bits</t>
        </is>
      </c>
      <c r="F3" s="3" t="inlineStr">
        <is>
          <t>Description</t>
        </is>
      </c>
      <c r="G3" s="3" t="inlineStr">
        <is>
          <t>Fields</t>
        </is>
      </c>
    </row>
    <row r="4" ht="22" customHeight="1">
      <c r="A4" s="4" t="inlineStr">
        <is>
          <t>▶  CubeSat 1   (0x0000 – 0x0FFF)</t>
        </is>
      </c>
    </row>
    <row r="5" ht="46" customHeight="1">
      <c r="A5" s="5" t="inlineStr">
        <is>
          <t>0x0000</t>
        </is>
      </c>
      <c r="B5" s="6" t="inlineStr">
        <is>
          <t>CS_CTRL</t>
        </is>
      </c>
      <c r="C5" s="7" t="inlineStr">
        <is>
          <t>RW</t>
        </is>
      </c>
      <c r="D5" s="8" t="inlineStr">
        <is>
          <t>0x00000001</t>
        </is>
      </c>
      <c r="E5" s="9" t="inlineStr">
        <is>
          <t>32b</t>
        </is>
      </c>
      <c r="F5" s="10" t="inlineStr">
        <is>
          <t>CS1 Master Control. Enable, reset, and mode selection.</t>
        </is>
      </c>
      <c r="G5" s="9" t="inlineStr">
        <is>
          <t>7</t>
        </is>
      </c>
    </row>
    <row r="6" ht="46" customHeight="1">
      <c r="A6" s="5" t="inlineStr">
        <is>
          <t>0x0004</t>
        </is>
      </c>
      <c r="B6" s="11" t="inlineStr">
        <is>
          <t>CS_STATUS</t>
        </is>
      </c>
      <c r="C6" s="12" t="inlineStr">
        <is>
          <t>RO</t>
        </is>
      </c>
      <c r="D6" s="13" t="inlineStr">
        <is>
          <t>0x00000000</t>
        </is>
      </c>
      <c r="E6" s="14" t="inlineStr">
        <is>
          <t>32b</t>
        </is>
      </c>
      <c r="F6" s="15" t="inlineStr">
        <is>
          <t>CS1 Status. FSM states, lock flags, and fault indicators.</t>
        </is>
      </c>
      <c r="G6" s="14" t="inlineStr">
        <is>
          <t>14</t>
        </is>
      </c>
    </row>
    <row r="7" ht="46" customHeight="1">
      <c r="A7" s="5" t="inlineStr">
        <is>
          <t>0x0008</t>
        </is>
      </c>
      <c r="B7" s="6" t="inlineStr">
        <is>
          <t>EKF_Q_QUAT</t>
        </is>
      </c>
      <c r="C7" s="7" t="inlineStr">
        <is>
          <t>RW</t>
        </is>
      </c>
      <c r="D7" s="8" t="inlineStr">
        <is>
          <t>0x00A3D70A</t>
        </is>
      </c>
      <c r="E7" s="9" t="inlineStr">
        <is>
          <t>32b</t>
        </is>
      </c>
      <c r="F7" s="10" t="inlineStr">
        <is>
          <t>EKF process noise variance for quaternion components. Q4.28. Default 0.01.</t>
        </is>
      </c>
      <c r="G7" s="9" t="inlineStr">
        <is>
          <t>1</t>
        </is>
      </c>
    </row>
    <row r="8" ht="46" customHeight="1">
      <c r="A8" s="5" t="inlineStr">
        <is>
          <t>0x000C</t>
        </is>
      </c>
      <c r="B8" s="6" t="inlineStr">
        <is>
          <t>EKF_Q_BIAS</t>
        </is>
      </c>
      <c r="C8" s="7" t="inlineStr">
        <is>
          <t>RW</t>
        </is>
      </c>
      <c r="D8" s="8" t="inlineStr">
        <is>
          <t>0x000010C7</t>
        </is>
      </c>
      <c r="E8" s="9" t="inlineStr">
        <is>
          <t>32b</t>
        </is>
      </c>
      <c r="F8" s="10" t="inlineStr">
        <is>
          <t>EKF process noise for gyro bias. Q4.28. Default 0.001.</t>
        </is>
      </c>
      <c r="G8" s="9" t="inlineStr">
        <is>
          <t>1</t>
        </is>
      </c>
    </row>
    <row r="9" ht="46" customHeight="1">
      <c r="A9" s="5" t="inlineStr">
        <is>
          <t>0x0010</t>
        </is>
      </c>
      <c r="B9" s="6" t="inlineStr">
        <is>
          <t>EKF_R_GYRO</t>
        </is>
      </c>
      <c r="C9" s="7" t="inlineStr">
        <is>
          <t>RW</t>
        </is>
      </c>
      <c r="D9" s="8" t="inlineStr">
        <is>
          <t>0x00001062</t>
        </is>
      </c>
      <c r="E9" s="9" t="inlineStr">
        <is>
          <t>32b</t>
        </is>
      </c>
      <c r="F9" s="10" t="inlineStr">
        <is>
          <t>EKF measurement noise for gyroscope. Q4.28. Default 0.0001 (rad/s)².</t>
        </is>
      </c>
      <c r="G9" s="9" t="inlineStr">
        <is>
          <t>1</t>
        </is>
      </c>
    </row>
    <row r="10" ht="46" customHeight="1">
      <c r="A10" s="5" t="inlineStr">
        <is>
          <t>0x0014</t>
        </is>
      </c>
      <c r="B10" s="6" t="inlineStr">
        <is>
          <t>EKF_R_MAG</t>
        </is>
      </c>
      <c r="C10" s="7" t="inlineStr">
        <is>
          <t>RW</t>
        </is>
      </c>
      <c r="D10" s="8" t="inlineStr">
        <is>
          <t>0x00418937</t>
        </is>
      </c>
      <c r="E10" s="9" t="inlineStr">
        <is>
          <t>32b</t>
        </is>
      </c>
      <c r="F10" s="10" t="inlineStr">
        <is>
          <t>EKF measurement noise for magnetometer. Q1.30. Default 0.001.</t>
        </is>
      </c>
      <c r="G10" s="9" t="inlineStr">
        <is>
          <t>1</t>
        </is>
      </c>
    </row>
    <row r="11" ht="46" customHeight="1">
      <c r="A11" s="5" t="inlineStr">
        <is>
          <t>0x0018</t>
        </is>
      </c>
      <c r="B11" s="6" t="inlineStr">
        <is>
          <t>ADCS_KP</t>
        </is>
      </c>
      <c r="C11" s="7" t="inlineStr">
        <is>
          <t>RW</t>
        </is>
      </c>
      <c r="D11" s="8" t="inlineStr">
        <is>
          <t>0x00001000</t>
        </is>
      </c>
      <c r="E11" s="9" t="inlineStr">
        <is>
          <t>32b</t>
        </is>
      </c>
      <c r="F11" s="10" t="inlineStr">
        <is>
          <t>ADCS proportional gain Kp. Q4.12. Default 1.0 = 0x1000.</t>
        </is>
      </c>
      <c r="G11" s="9" t="inlineStr">
        <is>
          <t>2</t>
        </is>
      </c>
    </row>
    <row r="12" ht="46" customHeight="1">
      <c r="A12" s="5" t="inlineStr">
        <is>
          <t>0x001C</t>
        </is>
      </c>
      <c r="B12" s="6" t="inlineStr">
        <is>
          <t>ADCS_KD</t>
        </is>
      </c>
      <c r="C12" s="7" t="inlineStr">
        <is>
          <t>RW</t>
        </is>
      </c>
      <c r="D12" s="8" t="inlineStr">
        <is>
          <t>0x00000800</t>
        </is>
      </c>
      <c r="E12" s="9" t="inlineStr">
        <is>
          <t>32b</t>
        </is>
      </c>
      <c r="F12" s="10" t="inlineStr">
        <is>
          <t>ADCS derivative gain Kd. Q4.12. Default 0.5.</t>
        </is>
      </c>
      <c r="G12" s="9" t="inlineStr">
        <is>
          <t>2</t>
        </is>
      </c>
    </row>
    <row r="13" ht="46" customHeight="1">
      <c r="A13" s="5" t="inlineStr">
        <is>
          <t>0x0020</t>
        </is>
      </c>
      <c r="B13" s="6" t="inlineStr">
        <is>
          <t>ADCS_KI</t>
        </is>
      </c>
      <c r="C13" s="7" t="inlineStr">
        <is>
          <t>RW</t>
        </is>
      </c>
      <c r="D13" s="8" t="inlineStr">
        <is>
          <t>0x00000100</t>
        </is>
      </c>
      <c r="E13" s="9" t="inlineStr">
        <is>
          <t>32b</t>
        </is>
      </c>
      <c r="F13" s="10" t="inlineStr">
        <is>
          <t>ADCS integral gain Ki. Q4.12. Default 0.0625. Anti-windup active.</t>
        </is>
      </c>
      <c r="G13" s="9" t="inlineStr">
        <is>
          <t>2</t>
        </is>
      </c>
    </row>
    <row r="14" ht="46" customHeight="1">
      <c r="A14" s="5" t="inlineStr">
        <is>
          <t>0x0024</t>
        </is>
      </c>
      <c r="B14" s="6" t="inlineStr">
        <is>
          <t>ADCS_SAT</t>
        </is>
      </c>
      <c r="C14" s="7" t="inlineStr">
        <is>
          <t>RW</t>
        </is>
      </c>
      <c r="D14" s="8" t="inlineStr">
        <is>
          <t>0x7FFF8001</t>
        </is>
      </c>
      <c r="E14" s="9" t="inlineStr">
        <is>
          <t>32b</t>
        </is>
      </c>
      <c r="F14" s="10" t="inlineStr">
        <is>
          <t>ADCS control output saturation. Upper/lower Q1.15 limits.</t>
        </is>
      </c>
      <c r="G14" s="9" t="inlineStr">
        <is>
          <t>2</t>
        </is>
      </c>
    </row>
    <row r="15" ht="46" customHeight="1">
      <c r="A15" s="5" t="inlineStr">
        <is>
          <t>0x0028</t>
        </is>
      </c>
      <c r="B15" s="6" t="inlineStr">
        <is>
          <t>RW_SPEED_LIM</t>
        </is>
      </c>
      <c r="C15" s="7" t="inlineStr">
        <is>
          <t>RW</t>
        </is>
      </c>
      <c r="D15" s="8" t="inlineStr">
        <is>
          <t>0x00003FFF</t>
        </is>
      </c>
      <c r="E15" s="9" t="inlineStr">
        <is>
          <t>32b</t>
        </is>
      </c>
      <c r="F15" s="10" t="inlineStr">
        <is>
          <t>Reaction wheel maximum normalised speed command. Q4.12.</t>
        </is>
      </c>
      <c r="G15" s="9" t="inlineStr">
        <is>
          <t>2</t>
        </is>
      </c>
    </row>
    <row r="16" ht="46" customHeight="1">
      <c r="A16" s="5" t="inlineStr">
        <is>
          <t>0x002C</t>
        </is>
      </c>
      <c r="B16" s="6" t="inlineStr">
        <is>
          <t>MTQ_SCALE</t>
        </is>
      </c>
      <c r="C16" s="7" t="inlineStr">
        <is>
          <t>RW</t>
        </is>
      </c>
      <c r="D16" s="8" t="inlineStr">
        <is>
          <t>0x00001000</t>
        </is>
      </c>
      <c r="E16" s="9" t="inlineStr">
        <is>
          <t>32b</t>
        </is>
      </c>
      <c r="F16" s="10" t="inlineStr">
        <is>
          <t>Magnetorquer dipole-moment scale factor. Q4.12. Default 1.0.</t>
        </is>
      </c>
      <c r="G16" s="9" t="inlineStr">
        <is>
          <t>2</t>
        </is>
      </c>
    </row>
    <row r="17" ht="46" customHeight="1">
      <c r="A17" s="5" t="inlineStr">
        <is>
          <t>0x0030</t>
        </is>
      </c>
      <c r="B17" s="6" t="inlineStr">
        <is>
          <t>LASER_RANGE</t>
        </is>
      </c>
      <c r="C17" s="7" t="inlineStr">
        <is>
          <t>RW</t>
        </is>
      </c>
      <c r="D17" s="8" t="inlineStr">
        <is>
          <t>0x00A00050</t>
        </is>
      </c>
      <c r="E17" s="9" t="inlineStr">
        <is>
          <t>32b</t>
        </is>
      </c>
      <c r="F17" s="10" t="inlineStr">
        <is>
          <t>Laser search scan angular half-range. Upper 16 = azimuth (×0.01 deg), lower = elevation.</t>
        </is>
      </c>
      <c r="G17" s="9" t="inlineStr">
        <is>
          <t>2</t>
        </is>
      </c>
    </row>
    <row r="18" ht="46" customHeight="1">
      <c r="A18" s="5" t="inlineStr">
        <is>
          <t>0x0034</t>
        </is>
      </c>
      <c r="B18" s="6" t="inlineStr">
        <is>
          <t>LASER_THRESH</t>
        </is>
      </c>
      <c r="C18" s="7" t="inlineStr">
        <is>
          <t>RW</t>
        </is>
      </c>
      <c r="D18" s="8" t="inlineStr">
        <is>
          <t>0x08000400</t>
        </is>
      </c>
      <c r="E18" s="9" t="inlineStr">
        <is>
          <t>32b</t>
        </is>
      </c>
      <c r="F18" s="10" t="inlineStr">
        <is>
          <t>Laser signal strength thresholds. Upper=TRACK, lower=ACQUIRE.</t>
        </is>
      </c>
      <c r="G18" s="9" t="inlineStr">
        <is>
          <t>2</t>
        </is>
      </c>
    </row>
    <row r="19" ht="46" customHeight="1">
      <c r="A19" s="5" t="inlineStr">
        <is>
          <t>0x0038</t>
        </is>
      </c>
      <c r="B19" s="6" t="inlineStr">
        <is>
          <t>LASER_STEP_RATE</t>
        </is>
      </c>
      <c r="C19" s="7" t="inlineStr">
        <is>
          <t>RW</t>
        </is>
      </c>
      <c r="D19" s="8" t="inlineStr">
        <is>
          <t>0x13881388</t>
        </is>
      </c>
      <c r="E19" s="9" t="inlineStr">
        <is>
          <t>32b</t>
        </is>
      </c>
      <c r="F19" s="10" t="inlineStr">
        <is>
          <t>Laser gimbal stepper max step rate (steps/sec). Upper=azimuth, lower=elevation.</t>
        </is>
      </c>
      <c r="G19" s="9" t="inlineStr">
        <is>
          <t>2</t>
        </is>
      </c>
    </row>
    <row r="20" ht="46" customHeight="1">
      <c r="A20" s="5" t="inlineStr">
        <is>
          <t>0x003C</t>
        </is>
      </c>
      <c r="B20" s="6" t="inlineStr">
        <is>
          <t>TLE_EPOCH_HI</t>
        </is>
      </c>
      <c r="C20" s="7" t="inlineStr">
        <is>
          <t>RW</t>
        </is>
      </c>
      <c r="D20" s="8" t="inlineStr">
        <is>
          <t>0x00000000</t>
        </is>
      </c>
      <c r="E20" s="9" t="inlineStr">
        <is>
          <t>32b</t>
        </is>
      </c>
      <c r="F20" s="10" t="inlineStr">
        <is>
          <t>TLE epoch Julian date high 32 bits (IEEE-754 double upper half).</t>
        </is>
      </c>
      <c r="G20" s="9" t="inlineStr">
        <is>
          <t>1</t>
        </is>
      </c>
    </row>
    <row r="21" ht="46" customHeight="1">
      <c r="A21" s="5" t="inlineStr">
        <is>
          <t>0x0040</t>
        </is>
      </c>
      <c r="B21" s="6" t="inlineStr">
        <is>
          <t>TLE_EPOCH_LO</t>
        </is>
      </c>
      <c r="C21" s="7" t="inlineStr">
        <is>
          <t>RW</t>
        </is>
      </c>
      <c r="D21" s="8" t="inlineStr">
        <is>
          <t>0x00000000</t>
        </is>
      </c>
      <c r="E21" s="9" t="inlineStr">
        <is>
          <t>32b</t>
        </is>
      </c>
      <c r="F21" s="10" t="inlineStr">
        <is>
          <t>TLE epoch Julian date low 32 bits.</t>
        </is>
      </c>
      <c r="G21" s="9" t="inlineStr">
        <is>
          <t>1</t>
        </is>
      </c>
    </row>
    <row r="22" ht="46" customHeight="1">
      <c r="A22" s="5" t="inlineStr">
        <is>
          <t>0x0044</t>
        </is>
      </c>
      <c r="B22" s="6" t="inlineStr">
        <is>
          <t>TLE_INCL</t>
        </is>
      </c>
      <c r="C22" s="7" t="inlineStr">
        <is>
          <t>RW</t>
        </is>
      </c>
      <c r="D22" s="8" t="inlineStr">
        <is>
          <t>0x00000000</t>
        </is>
      </c>
      <c r="E22" s="9" t="inlineStr">
        <is>
          <t>32b</t>
        </is>
      </c>
      <c r="F22" s="10" t="inlineStr">
        <is>
          <t>TLE orbital inclination. Q10.22 degrees. Triggers SGP4 re-init on write.</t>
        </is>
      </c>
      <c r="G22" s="9" t="inlineStr">
        <is>
          <t>1</t>
        </is>
      </c>
    </row>
    <row r="23" ht="46" customHeight="1">
      <c r="A23" s="5" t="inlineStr">
        <is>
          <t>0x0048</t>
        </is>
      </c>
      <c r="B23" s="6" t="inlineStr">
        <is>
          <t>TLM_PERIOD</t>
        </is>
      </c>
      <c r="C23" s="7" t="inlineStr">
        <is>
          <t>RW</t>
        </is>
      </c>
      <c r="D23" s="8" t="inlineStr">
        <is>
          <t>0x00000001</t>
        </is>
      </c>
      <c r="E23" s="9" t="inlineStr">
        <is>
          <t>32b</t>
        </is>
      </c>
      <c r="F23" s="10" t="inlineStr">
        <is>
          <t>Telemetry downlink period in whole seconds.</t>
        </is>
      </c>
      <c r="G23" s="9" t="inlineStr">
        <is>
          <t>2</t>
        </is>
      </c>
    </row>
    <row r="24" ht="46" customHeight="1">
      <c r="A24" s="5" t="inlineStr">
        <is>
          <t>0x004C</t>
        </is>
      </c>
      <c r="B24" s="6" t="inlineStr">
        <is>
          <t>TLM_ENABLE</t>
        </is>
      </c>
      <c r="C24" s="7" t="inlineStr">
        <is>
          <t>RW</t>
        </is>
      </c>
      <c r="D24" s="8" t="inlineStr">
        <is>
          <t>0x00000007</t>
        </is>
      </c>
      <c r="E24" s="9" t="inlineStr">
        <is>
          <t>32b</t>
        </is>
      </c>
      <c r="F24" s="10" t="inlineStr">
        <is>
          <t>Telemetry packet enable bitmask (APID types).</t>
        </is>
      </c>
      <c r="G24" s="9" t="inlineStr">
        <is>
          <t>4</t>
        </is>
      </c>
    </row>
    <row r="25" ht="46" customHeight="1">
      <c r="A25" s="5" t="inlineStr">
        <is>
          <t>0x0050</t>
        </is>
      </c>
      <c r="B25" s="11" t="inlineStr">
        <is>
          <t>DBG_IMU_CNT</t>
        </is>
      </c>
      <c r="C25" s="12" t="inlineStr">
        <is>
          <t>RO</t>
        </is>
      </c>
      <c r="D25" s="13" t="inlineStr">
        <is>
          <t>0x00000000</t>
        </is>
      </c>
      <c r="E25" s="14" t="inlineStr">
        <is>
          <t>32b</t>
        </is>
      </c>
      <c r="F25" s="15" t="inlineStr">
        <is>
          <t>IMU SPI frame counter. Increments at 100 Hz. Verify IMU health by polling.</t>
        </is>
      </c>
      <c r="G25" s="14" t="inlineStr">
        <is>
          <t>1</t>
        </is>
      </c>
    </row>
    <row r="26" ht="46" customHeight="1">
      <c r="A26" s="5" t="inlineStr">
        <is>
          <t>0x0054</t>
        </is>
      </c>
      <c r="B26" s="11" t="inlineStr">
        <is>
          <t>DBG_EKF_CNT</t>
        </is>
      </c>
      <c r="C26" s="12" t="inlineStr">
        <is>
          <t>RO</t>
        </is>
      </c>
      <c r="D26" s="13" t="inlineStr">
        <is>
          <t>0x00000000</t>
        </is>
      </c>
      <c r="E26" s="14" t="inlineStr">
        <is>
          <t>32b</t>
        </is>
      </c>
      <c r="F26" s="15" t="inlineStr">
        <is>
          <t>EKF predict iteration counter.</t>
        </is>
      </c>
      <c r="G26" s="14" t="inlineStr">
        <is>
          <t>1</t>
        </is>
      </c>
    </row>
    <row r="27" ht="46" customHeight="1">
      <c r="A27" s="5" t="inlineStr">
        <is>
          <t>0x0058</t>
        </is>
      </c>
      <c r="B27" s="11" t="inlineStr">
        <is>
          <t>DBG_LASER_CNT</t>
        </is>
      </c>
      <c r="C27" s="12" t="inlineStr">
        <is>
          <t>RO</t>
        </is>
      </c>
      <c r="D27" s="13" t="inlineStr">
        <is>
          <t>0x00000000</t>
        </is>
      </c>
      <c r="E27" s="14" t="inlineStr">
        <is>
          <t>32b</t>
        </is>
      </c>
      <c r="F27" s="15" t="inlineStr">
        <is>
          <t>Laser acquisition attempt counters.</t>
        </is>
      </c>
      <c r="G27" s="14" t="inlineStr">
        <is>
          <t>2</t>
        </is>
      </c>
    </row>
    <row r="28" ht="46" customHeight="1">
      <c r="A28" s="5" t="inlineStr">
        <is>
          <t>0x005C</t>
        </is>
      </c>
      <c r="B28" s="16" t="inlineStr">
        <is>
          <t>DBG_FAULT_LOG</t>
        </is>
      </c>
      <c r="C28" s="17" t="inlineStr">
        <is>
          <t>W1C</t>
        </is>
      </c>
      <c r="D28" s="18" t="inlineStr">
        <is>
          <t>0x00000000</t>
        </is>
      </c>
      <c r="E28" s="19" t="inlineStr">
        <is>
          <t>32b</t>
        </is>
      </c>
      <c r="F28" s="20" t="inlineStr">
        <is>
          <t>Latched fault bits. Write 1 to each bit to clear it individually.</t>
        </is>
      </c>
      <c r="G28" s="19" t="inlineStr">
        <is>
          <t>9</t>
        </is>
      </c>
    </row>
    <row r="29" ht="22" customHeight="1">
      <c r="A29" s="4" t="inlineStr">
        <is>
          <t>▶  CubeSat 2   (0x1000 – 0x1FFF)</t>
        </is>
      </c>
    </row>
    <row r="30" ht="46" customHeight="1">
      <c r="A30" s="5" t="inlineStr">
        <is>
          <t>0x1000</t>
        </is>
      </c>
      <c r="B30" s="6" t="inlineStr">
        <is>
          <t>CS_CTRL</t>
        </is>
      </c>
      <c r="C30" s="7" t="inlineStr">
        <is>
          <t>RW</t>
        </is>
      </c>
      <c r="D30" s="8" t="inlineStr">
        <is>
          <t>0x00000001</t>
        </is>
      </c>
      <c r="E30" s="9" t="inlineStr">
        <is>
          <t>32b</t>
        </is>
      </c>
      <c r="F30" s="10" t="inlineStr">
        <is>
          <t>CS2 Master Control. Enable, reset, and mode selection.</t>
        </is>
      </c>
      <c r="G30" s="9" t="inlineStr">
        <is>
          <t>7</t>
        </is>
      </c>
    </row>
    <row r="31" ht="46" customHeight="1">
      <c r="A31" s="5" t="inlineStr">
        <is>
          <t>0x1004</t>
        </is>
      </c>
      <c r="B31" s="11" t="inlineStr">
        <is>
          <t>CS_STATUS</t>
        </is>
      </c>
      <c r="C31" s="12" t="inlineStr">
        <is>
          <t>RO</t>
        </is>
      </c>
      <c r="D31" s="13" t="inlineStr">
        <is>
          <t>0x00000000</t>
        </is>
      </c>
      <c r="E31" s="14" t="inlineStr">
        <is>
          <t>32b</t>
        </is>
      </c>
      <c r="F31" s="15" t="inlineStr">
        <is>
          <t>CS2 Status. FSM states, lock flags, and fault indicators.</t>
        </is>
      </c>
      <c r="G31" s="14" t="inlineStr">
        <is>
          <t>14</t>
        </is>
      </c>
    </row>
    <row r="32" ht="46" customHeight="1">
      <c r="A32" s="5" t="inlineStr">
        <is>
          <t>0x1008</t>
        </is>
      </c>
      <c r="B32" s="6" t="inlineStr">
        <is>
          <t>EKF_Q_QUAT</t>
        </is>
      </c>
      <c r="C32" s="7" t="inlineStr">
        <is>
          <t>RW</t>
        </is>
      </c>
      <c r="D32" s="8" t="inlineStr">
        <is>
          <t>0x00A3D70A</t>
        </is>
      </c>
      <c r="E32" s="9" t="inlineStr">
        <is>
          <t>32b</t>
        </is>
      </c>
      <c r="F32" s="10" t="inlineStr">
        <is>
          <t>EKF process noise variance for quaternion components. Q4.28. Default 0.01.</t>
        </is>
      </c>
      <c r="G32" s="9" t="inlineStr">
        <is>
          <t>1</t>
        </is>
      </c>
    </row>
    <row r="33" ht="46" customHeight="1">
      <c r="A33" s="5" t="inlineStr">
        <is>
          <t>0x100C</t>
        </is>
      </c>
      <c r="B33" s="6" t="inlineStr">
        <is>
          <t>EKF_Q_BIAS</t>
        </is>
      </c>
      <c r="C33" s="7" t="inlineStr">
        <is>
          <t>RW</t>
        </is>
      </c>
      <c r="D33" s="8" t="inlineStr">
        <is>
          <t>0x000010C7</t>
        </is>
      </c>
      <c r="E33" s="9" t="inlineStr">
        <is>
          <t>32b</t>
        </is>
      </c>
      <c r="F33" s="10" t="inlineStr">
        <is>
          <t>EKF process noise for gyro bias. Q4.28. Default 0.001.</t>
        </is>
      </c>
      <c r="G33" s="9" t="inlineStr">
        <is>
          <t>1</t>
        </is>
      </c>
    </row>
    <row r="34" ht="46" customHeight="1">
      <c r="A34" s="5" t="inlineStr">
        <is>
          <t>0x1010</t>
        </is>
      </c>
      <c r="B34" s="6" t="inlineStr">
        <is>
          <t>EKF_R_GYRO</t>
        </is>
      </c>
      <c r="C34" s="7" t="inlineStr">
        <is>
          <t>RW</t>
        </is>
      </c>
      <c r="D34" s="8" t="inlineStr">
        <is>
          <t>0x00001062</t>
        </is>
      </c>
      <c r="E34" s="9" t="inlineStr">
        <is>
          <t>32b</t>
        </is>
      </c>
      <c r="F34" s="10" t="inlineStr">
        <is>
          <t>EKF measurement noise for gyroscope. Q4.28. Default 0.0001 (rad/s)².</t>
        </is>
      </c>
      <c r="G34" s="9" t="inlineStr">
        <is>
          <t>1</t>
        </is>
      </c>
    </row>
    <row r="35" ht="46" customHeight="1">
      <c r="A35" s="5" t="inlineStr">
        <is>
          <t>0x1014</t>
        </is>
      </c>
      <c r="B35" s="6" t="inlineStr">
        <is>
          <t>EKF_R_MAG</t>
        </is>
      </c>
      <c r="C35" s="7" t="inlineStr">
        <is>
          <t>RW</t>
        </is>
      </c>
      <c r="D35" s="8" t="inlineStr">
        <is>
          <t>0x00418937</t>
        </is>
      </c>
      <c r="E35" s="9" t="inlineStr">
        <is>
          <t>32b</t>
        </is>
      </c>
      <c r="F35" s="10" t="inlineStr">
        <is>
          <t>EKF measurement noise for magnetometer. Q1.30. Default 0.001.</t>
        </is>
      </c>
      <c r="G35" s="9" t="inlineStr">
        <is>
          <t>1</t>
        </is>
      </c>
    </row>
    <row r="36" ht="46" customHeight="1">
      <c r="A36" s="5" t="inlineStr">
        <is>
          <t>0x1018</t>
        </is>
      </c>
      <c r="B36" s="6" t="inlineStr">
        <is>
          <t>ADCS_KP</t>
        </is>
      </c>
      <c r="C36" s="7" t="inlineStr">
        <is>
          <t>RW</t>
        </is>
      </c>
      <c r="D36" s="8" t="inlineStr">
        <is>
          <t>0x00001000</t>
        </is>
      </c>
      <c r="E36" s="9" t="inlineStr">
        <is>
          <t>32b</t>
        </is>
      </c>
      <c r="F36" s="10" t="inlineStr">
        <is>
          <t>ADCS proportional gain Kp. Q4.12. Default 1.0 = 0x1000.</t>
        </is>
      </c>
      <c r="G36" s="9" t="inlineStr">
        <is>
          <t>2</t>
        </is>
      </c>
    </row>
    <row r="37" ht="46" customHeight="1">
      <c r="A37" s="5" t="inlineStr">
        <is>
          <t>0x101C</t>
        </is>
      </c>
      <c r="B37" s="6" t="inlineStr">
        <is>
          <t>ADCS_KD</t>
        </is>
      </c>
      <c r="C37" s="7" t="inlineStr">
        <is>
          <t>RW</t>
        </is>
      </c>
      <c r="D37" s="8" t="inlineStr">
        <is>
          <t>0x00000800</t>
        </is>
      </c>
      <c r="E37" s="9" t="inlineStr">
        <is>
          <t>32b</t>
        </is>
      </c>
      <c r="F37" s="10" t="inlineStr">
        <is>
          <t>ADCS derivative gain Kd. Q4.12. Default 0.5.</t>
        </is>
      </c>
      <c r="G37" s="9" t="inlineStr">
        <is>
          <t>2</t>
        </is>
      </c>
    </row>
    <row r="38" ht="46" customHeight="1">
      <c r="A38" s="5" t="inlineStr">
        <is>
          <t>0x1020</t>
        </is>
      </c>
      <c r="B38" s="6" t="inlineStr">
        <is>
          <t>ADCS_KI</t>
        </is>
      </c>
      <c r="C38" s="7" t="inlineStr">
        <is>
          <t>RW</t>
        </is>
      </c>
      <c r="D38" s="8" t="inlineStr">
        <is>
          <t>0x00000100</t>
        </is>
      </c>
      <c r="E38" s="9" t="inlineStr">
        <is>
          <t>32b</t>
        </is>
      </c>
      <c r="F38" s="10" t="inlineStr">
        <is>
          <t>ADCS integral gain Ki. Q4.12. Default 0.0625. Anti-windup active.</t>
        </is>
      </c>
      <c r="G38" s="9" t="inlineStr">
        <is>
          <t>2</t>
        </is>
      </c>
    </row>
    <row r="39" ht="46" customHeight="1">
      <c r="A39" s="5" t="inlineStr">
        <is>
          <t>0x1024</t>
        </is>
      </c>
      <c r="B39" s="6" t="inlineStr">
        <is>
          <t>ADCS_SAT</t>
        </is>
      </c>
      <c r="C39" s="7" t="inlineStr">
        <is>
          <t>RW</t>
        </is>
      </c>
      <c r="D39" s="8" t="inlineStr">
        <is>
          <t>0x7FFF8001</t>
        </is>
      </c>
      <c r="E39" s="9" t="inlineStr">
        <is>
          <t>32b</t>
        </is>
      </c>
      <c r="F39" s="10" t="inlineStr">
        <is>
          <t>ADCS control output saturation. Upper/lower Q1.15 limits.</t>
        </is>
      </c>
      <c r="G39" s="9" t="inlineStr">
        <is>
          <t>2</t>
        </is>
      </c>
    </row>
    <row r="40" ht="46" customHeight="1">
      <c r="A40" s="5" t="inlineStr">
        <is>
          <t>0x1028</t>
        </is>
      </c>
      <c r="B40" s="6" t="inlineStr">
        <is>
          <t>RW_SPEED_LIM</t>
        </is>
      </c>
      <c r="C40" s="7" t="inlineStr">
        <is>
          <t>RW</t>
        </is>
      </c>
      <c r="D40" s="8" t="inlineStr">
        <is>
          <t>0x00003FFF</t>
        </is>
      </c>
      <c r="E40" s="9" t="inlineStr">
        <is>
          <t>32b</t>
        </is>
      </c>
      <c r="F40" s="10" t="inlineStr">
        <is>
          <t>Reaction wheel maximum normalised speed command. Q4.12.</t>
        </is>
      </c>
      <c r="G40" s="9" t="inlineStr">
        <is>
          <t>2</t>
        </is>
      </c>
    </row>
    <row r="41" ht="46" customHeight="1">
      <c r="A41" s="5" t="inlineStr">
        <is>
          <t>0x102C</t>
        </is>
      </c>
      <c r="B41" s="6" t="inlineStr">
        <is>
          <t>MTQ_SCALE</t>
        </is>
      </c>
      <c r="C41" s="7" t="inlineStr">
        <is>
          <t>RW</t>
        </is>
      </c>
      <c r="D41" s="8" t="inlineStr">
        <is>
          <t>0x00001000</t>
        </is>
      </c>
      <c r="E41" s="9" t="inlineStr">
        <is>
          <t>32b</t>
        </is>
      </c>
      <c r="F41" s="10" t="inlineStr">
        <is>
          <t>Magnetorquer dipole-moment scale factor. Q4.12. Default 1.0.</t>
        </is>
      </c>
      <c r="G41" s="9" t="inlineStr">
        <is>
          <t>2</t>
        </is>
      </c>
    </row>
    <row r="42" ht="46" customHeight="1">
      <c r="A42" s="5" t="inlineStr">
        <is>
          <t>0x1030</t>
        </is>
      </c>
      <c r="B42" s="6" t="inlineStr">
        <is>
          <t>LASER_RANGE</t>
        </is>
      </c>
      <c r="C42" s="7" t="inlineStr">
        <is>
          <t>RW</t>
        </is>
      </c>
      <c r="D42" s="8" t="inlineStr">
        <is>
          <t>0x00A00050</t>
        </is>
      </c>
      <c r="E42" s="9" t="inlineStr">
        <is>
          <t>32b</t>
        </is>
      </c>
      <c r="F42" s="10" t="inlineStr">
        <is>
          <t>Laser search scan angular half-range. Upper 16 = azimuth (×0.01 deg), lower = elevation.</t>
        </is>
      </c>
      <c r="G42" s="9" t="inlineStr">
        <is>
          <t>2</t>
        </is>
      </c>
    </row>
    <row r="43" ht="46" customHeight="1">
      <c r="A43" s="5" t="inlineStr">
        <is>
          <t>0x1034</t>
        </is>
      </c>
      <c r="B43" s="6" t="inlineStr">
        <is>
          <t>LASER_THRESH</t>
        </is>
      </c>
      <c r="C43" s="7" t="inlineStr">
        <is>
          <t>RW</t>
        </is>
      </c>
      <c r="D43" s="8" t="inlineStr">
        <is>
          <t>0x08000400</t>
        </is>
      </c>
      <c r="E43" s="9" t="inlineStr">
        <is>
          <t>32b</t>
        </is>
      </c>
      <c r="F43" s="10" t="inlineStr">
        <is>
          <t>Laser signal strength thresholds. Upper=TRACK, lower=ACQUIRE.</t>
        </is>
      </c>
      <c r="G43" s="9" t="inlineStr">
        <is>
          <t>2</t>
        </is>
      </c>
    </row>
    <row r="44" ht="46" customHeight="1">
      <c r="A44" s="5" t="inlineStr">
        <is>
          <t>0x1038</t>
        </is>
      </c>
      <c r="B44" s="6" t="inlineStr">
        <is>
          <t>LASER_STEP_RATE</t>
        </is>
      </c>
      <c r="C44" s="7" t="inlineStr">
        <is>
          <t>RW</t>
        </is>
      </c>
      <c r="D44" s="8" t="inlineStr">
        <is>
          <t>0x13881388</t>
        </is>
      </c>
      <c r="E44" s="9" t="inlineStr">
        <is>
          <t>32b</t>
        </is>
      </c>
      <c r="F44" s="10" t="inlineStr">
        <is>
          <t>Laser gimbal stepper max step rate (steps/sec). Upper=azimuth, lower=elevation.</t>
        </is>
      </c>
      <c r="G44" s="9" t="inlineStr">
        <is>
          <t>2</t>
        </is>
      </c>
    </row>
    <row r="45" ht="46" customHeight="1">
      <c r="A45" s="5" t="inlineStr">
        <is>
          <t>0x103C</t>
        </is>
      </c>
      <c r="B45" s="6" t="inlineStr">
        <is>
          <t>TLE_EPOCH_HI</t>
        </is>
      </c>
      <c r="C45" s="7" t="inlineStr">
        <is>
          <t>RW</t>
        </is>
      </c>
      <c r="D45" s="8" t="inlineStr">
        <is>
          <t>0x00000000</t>
        </is>
      </c>
      <c r="E45" s="9" t="inlineStr">
        <is>
          <t>32b</t>
        </is>
      </c>
      <c r="F45" s="10" t="inlineStr">
        <is>
          <t>TLE epoch Julian date high 32 bits (IEEE-754 double upper half).</t>
        </is>
      </c>
      <c r="G45" s="9" t="inlineStr">
        <is>
          <t>1</t>
        </is>
      </c>
    </row>
    <row r="46" ht="46" customHeight="1">
      <c r="A46" s="5" t="inlineStr">
        <is>
          <t>0x1040</t>
        </is>
      </c>
      <c r="B46" s="6" t="inlineStr">
        <is>
          <t>TLE_EPOCH_LO</t>
        </is>
      </c>
      <c r="C46" s="7" t="inlineStr">
        <is>
          <t>RW</t>
        </is>
      </c>
      <c r="D46" s="8" t="inlineStr">
        <is>
          <t>0x00000000</t>
        </is>
      </c>
      <c r="E46" s="9" t="inlineStr">
        <is>
          <t>32b</t>
        </is>
      </c>
      <c r="F46" s="10" t="inlineStr">
        <is>
          <t>TLE epoch Julian date low 32 bits.</t>
        </is>
      </c>
      <c r="G46" s="9" t="inlineStr">
        <is>
          <t>1</t>
        </is>
      </c>
    </row>
    <row r="47" ht="46" customHeight="1">
      <c r="A47" s="5" t="inlineStr">
        <is>
          <t>0x1044</t>
        </is>
      </c>
      <c r="B47" s="6" t="inlineStr">
        <is>
          <t>TLE_INCL</t>
        </is>
      </c>
      <c r="C47" s="7" t="inlineStr">
        <is>
          <t>RW</t>
        </is>
      </c>
      <c r="D47" s="8" t="inlineStr">
        <is>
          <t>0x00000000</t>
        </is>
      </c>
      <c r="E47" s="9" t="inlineStr">
        <is>
          <t>32b</t>
        </is>
      </c>
      <c r="F47" s="10" t="inlineStr">
        <is>
          <t>TLE orbital inclination. Q10.22 degrees. Triggers SGP4 re-init on write.</t>
        </is>
      </c>
      <c r="G47" s="9" t="inlineStr">
        <is>
          <t>1</t>
        </is>
      </c>
    </row>
    <row r="48" ht="46" customHeight="1">
      <c r="A48" s="5" t="inlineStr">
        <is>
          <t>0x1048</t>
        </is>
      </c>
      <c r="B48" s="6" t="inlineStr">
        <is>
          <t>TLM_PERIOD</t>
        </is>
      </c>
      <c r="C48" s="7" t="inlineStr">
        <is>
          <t>RW</t>
        </is>
      </c>
      <c r="D48" s="8" t="inlineStr">
        <is>
          <t>0x00000001</t>
        </is>
      </c>
      <c r="E48" s="9" t="inlineStr">
        <is>
          <t>32b</t>
        </is>
      </c>
      <c r="F48" s="10" t="inlineStr">
        <is>
          <t>Telemetry downlink period in whole seconds.</t>
        </is>
      </c>
      <c r="G48" s="9" t="inlineStr">
        <is>
          <t>2</t>
        </is>
      </c>
    </row>
    <row r="49" ht="46" customHeight="1">
      <c r="A49" s="5" t="inlineStr">
        <is>
          <t>0x104C</t>
        </is>
      </c>
      <c r="B49" s="6" t="inlineStr">
        <is>
          <t>TLM_ENABLE</t>
        </is>
      </c>
      <c r="C49" s="7" t="inlineStr">
        <is>
          <t>RW</t>
        </is>
      </c>
      <c r="D49" s="8" t="inlineStr">
        <is>
          <t>0x00000007</t>
        </is>
      </c>
      <c r="E49" s="9" t="inlineStr">
        <is>
          <t>32b</t>
        </is>
      </c>
      <c r="F49" s="10" t="inlineStr">
        <is>
          <t>Telemetry packet enable bitmask (APID types).</t>
        </is>
      </c>
      <c r="G49" s="9" t="inlineStr">
        <is>
          <t>4</t>
        </is>
      </c>
    </row>
    <row r="50" ht="46" customHeight="1">
      <c r="A50" s="5" t="inlineStr">
        <is>
          <t>0x1050</t>
        </is>
      </c>
      <c r="B50" s="11" t="inlineStr">
        <is>
          <t>DBG_IMU_CNT</t>
        </is>
      </c>
      <c r="C50" s="12" t="inlineStr">
        <is>
          <t>RO</t>
        </is>
      </c>
      <c r="D50" s="13" t="inlineStr">
        <is>
          <t>0x00000000</t>
        </is>
      </c>
      <c r="E50" s="14" t="inlineStr">
        <is>
          <t>32b</t>
        </is>
      </c>
      <c r="F50" s="15" t="inlineStr">
        <is>
          <t>IMU SPI frame counter. Increments at 100 Hz. Verify IMU health by polling.</t>
        </is>
      </c>
      <c r="G50" s="14" t="inlineStr">
        <is>
          <t>1</t>
        </is>
      </c>
    </row>
    <row r="51" ht="46" customHeight="1">
      <c r="A51" s="5" t="inlineStr">
        <is>
          <t>0x1054</t>
        </is>
      </c>
      <c r="B51" s="11" t="inlineStr">
        <is>
          <t>DBG_EKF_CNT</t>
        </is>
      </c>
      <c r="C51" s="12" t="inlineStr">
        <is>
          <t>RO</t>
        </is>
      </c>
      <c r="D51" s="13" t="inlineStr">
        <is>
          <t>0x00000000</t>
        </is>
      </c>
      <c r="E51" s="14" t="inlineStr">
        <is>
          <t>32b</t>
        </is>
      </c>
      <c r="F51" s="15" t="inlineStr">
        <is>
          <t>EKF predict iteration counter.</t>
        </is>
      </c>
      <c r="G51" s="14" t="inlineStr">
        <is>
          <t>1</t>
        </is>
      </c>
    </row>
    <row r="52" ht="46" customHeight="1">
      <c r="A52" s="5" t="inlineStr">
        <is>
          <t>0x1058</t>
        </is>
      </c>
      <c r="B52" s="11" t="inlineStr">
        <is>
          <t>DBG_LASER_CNT</t>
        </is>
      </c>
      <c r="C52" s="12" t="inlineStr">
        <is>
          <t>RO</t>
        </is>
      </c>
      <c r="D52" s="13" t="inlineStr">
        <is>
          <t>0x00000000</t>
        </is>
      </c>
      <c r="E52" s="14" t="inlineStr">
        <is>
          <t>32b</t>
        </is>
      </c>
      <c r="F52" s="15" t="inlineStr">
        <is>
          <t>Laser acquisition attempt counters.</t>
        </is>
      </c>
      <c r="G52" s="14" t="inlineStr">
        <is>
          <t>2</t>
        </is>
      </c>
    </row>
    <row r="53" ht="46" customHeight="1">
      <c r="A53" s="5" t="inlineStr">
        <is>
          <t>0x105C</t>
        </is>
      </c>
      <c r="B53" s="16" t="inlineStr">
        <is>
          <t>DBG_FAULT_LOG</t>
        </is>
      </c>
      <c r="C53" s="17" t="inlineStr">
        <is>
          <t>W1C</t>
        </is>
      </c>
      <c r="D53" s="18" t="inlineStr">
        <is>
          <t>0x00000000</t>
        </is>
      </c>
      <c r="E53" s="19" t="inlineStr">
        <is>
          <t>32b</t>
        </is>
      </c>
      <c r="F53" s="20" t="inlineStr">
        <is>
          <t>Latched fault bits. Write 1 to each bit to clear it individually.</t>
        </is>
      </c>
      <c r="G53" s="19" t="inlineStr">
        <is>
          <t>9</t>
        </is>
      </c>
    </row>
    <row r="54" ht="22" customHeight="1">
      <c r="A54" s="4" t="inlineStr">
        <is>
          <t>▶  CubeSat 3   (0x2000 – 0x2FFF)</t>
        </is>
      </c>
    </row>
    <row r="55" ht="46" customHeight="1">
      <c r="A55" s="5" t="inlineStr">
        <is>
          <t>0x2000</t>
        </is>
      </c>
      <c r="B55" s="6" t="inlineStr">
        <is>
          <t>CS_CTRL</t>
        </is>
      </c>
      <c r="C55" s="7" t="inlineStr">
        <is>
          <t>RW</t>
        </is>
      </c>
      <c r="D55" s="8" t="inlineStr">
        <is>
          <t>0x00000001</t>
        </is>
      </c>
      <c r="E55" s="9" t="inlineStr">
        <is>
          <t>32b</t>
        </is>
      </c>
      <c r="F55" s="10" t="inlineStr">
        <is>
          <t>CS3 Master Control. Enable, reset, and mode selection.</t>
        </is>
      </c>
      <c r="G55" s="9" t="inlineStr">
        <is>
          <t>7</t>
        </is>
      </c>
    </row>
    <row r="56" ht="46" customHeight="1">
      <c r="A56" s="5" t="inlineStr">
        <is>
          <t>0x2004</t>
        </is>
      </c>
      <c r="B56" s="11" t="inlineStr">
        <is>
          <t>CS_STATUS</t>
        </is>
      </c>
      <c r="C56" s="12" t="inlineStr">
        <is>
          <t>RO</t>
        </is>
      </c>
      <c r="D56" s="13" t="inlineStr">
        <is>
          <t>0x00000000</t>
        </is>
      </c>
      <c r="E56" s="14" t="inlineStr">
        <is>
          <t>32b</t>
        </is>
      </c>
      <c r="F56" s="15" t="inlineStr">
        <is>
          <t>CS3 Status. FSM states, lock flags, and fault indicators.</t>
        </is>
      </c>
      <c r="G56" s="14" t="inlineStr">
        <is>
          <t>14</t>
        </is>
      </c>
    </row>
    <row r="57" ht="46" customHeight="1">
      <c r="A57" s="5" t="inlineStr">
        <is>
          <t>0x2008</t>
        </is>
      </c>
      <c r="B57" s="6" t="inlineStr">
        <is>
          <t>EKF_Q_QUAT</t>
        </is>
      </c>
      <c r="C57" s="7" t="inlineStr">
        <is>
          <t>RW</t>
        </is>
      </c>
      <c r="D57" s="8" t="inlineStr">
        <is>
          <t>0x00A3D70A</t>
        </is>
      </c>
      <c r="E57" s="9" t="inlineStr">
        <is>
          <t>32b</t>
        </is>
      </c>
      <c r="F57" s="10" t="inlineStr">
        <is>
          <t>EKF process noise variance for quaternion components. Q4.28. Default 0.01.</t>
        </is>
      </c>
      <c r="G57" s="9" t="inlineStr">
        <is>
          <t>1</t>
        </is>
      </c>
    </row>
    <row r="58" ht="46" customHeight="1">
      <c r="A58" s="5" t="inlineStr">
        <is>
          <t>0x200C</t>
        </is>
      </c>
      <c r="B58" s="6" t="inlineStr">
        <is>
          <t>EKF_Q_BIAS</t>
        </is>
      </c>
      <c r="C58" s="7" t="inlineStr">
        <is>
          <t>RW</t>
        </is>
      </c>
      <c r="D58" s="8" t="inlineStr">
        <is>
          <t>0x000010C7</t>
        </is>
      </c>
      <c r="E58" s="9" t="inlineStr">
        <is>
          <t>32b</t>
        </is>
      </c>
      <c r="F58" s="10" t="inlineStr">
        <is>
          <t>EKF process noise for gyro bias. Q4.28. Default 0.001.</t>
        </is>
      </c>
      <c r="G58" s="9" t="inlineStr">
        <is>
          <t>1</t>
        </is>
      </c>
    </row>
    <row r="59" ht="46" customHeight="1">
      <c r="A59" s="5" t="inlineStr">
        <is>
          <t>0x2010</t>
        </is>
      </c>
      <c r="B59" s="6" t="inlineStr">
        <is>
          <t>EKF_R_GYRO</t>
        </is>
      </c>
      <c r="C59" s="7" t="inlineStr">
        <is>
          <t>RW</t>
        </is>
      </c>
      <c r="D59" s="8" t="inlineStr">
        <is>
          <t>0x00001062</t>
        </is>
      </c>
      <c r="E59" s="9" t="inlineStr">
        <is>
          <t>32b</t>
        </is>
      </c>
      <c r="F59" s="10" t="inlineStr">
        <is>
          <t>EKF measurement noise for gyroscope. Q4.28. Default 0.0001 (rad/s)².</t>
        </is>
      </c>
      <c r="G59" s="9" t="inlineStr">
        <is>
          <t>1</t>
        </is>
      </c>
    </row>
    <row r="60" ht="46" customHeight="1">
      <c r="A60" s="5" t="inlineStr">
        <is>
          <t>0x2014</t>
        </is>
      </c>
      <c r="B60" s="6" t="inlineStr">
        <is>
          <t>EKF_R_MAG</t>
        </is>
      </c>
      <c r="C60" s="7" t="inlineStr">
        <is>
          <t>RW</t>
        </is>
      </c>
      <c r="D60" s="8" t="inlineStr">
        <is>
          <t>0x00418937</t>
        </is>
      </c>
      <c r="E60" s="9" t="inlineStr">
        <is>
          <t>32b</t>
        </is>
      </c>
      <c r="F60" s="10" t="inlineStr">
        <is>
          <t>EKF measurement noise for magnetometer. Q1.30. Default 0.001.</t>
        </is>
      </c>
      <c r="G60" s="9" t="inlineStr">
        <is>
          <t>1</t>
        </is>
      </c>
    </row>
    <row r="61" ht="46" customHeight="1">
      <c r="A61" s="5" t="inlineStr">
        <is>
          <t>0x2018</t>
        </is>
      </c>
      <c r="B61" s="6" t="inlineStr">
        <is>
          <t>ADCS_KP</t>
        </is>
      </c>
      <c r="C61" s="7" t="inlineStr">
        <is>
          <t>RW</t>
        </is>
      </c>
      <c r="D61" s="8" t="inlineStr">
        <is>
          <t>0x00001000</t>
        </is>
      </c>
      <c r="E61" s="9" t="inlineStr">
        <is>
          <t>32b</t>
        </is>
      </c>
      <c r="F61" s="10" t="inlineStr">
        <is>
          <t>ADCS proportional gain Kp. Q4.12. Default 1.0 = 0x1000.</t>
        </is>
      </c>
      <c r="G61" s="9" t="inlineStr">
        <is>
          <t>2</t>
        </is>
      </c>
    </row>
    <row r="62" ht="46" customHeight="1">
      <c r="A62" s="5" t="inlineStr">
        <is>
          <t>0x201C</t>
        </is>
      </c>
      <c r="B62" s="6" t="inlineStr">
        <is>
          <t>ADCS_KD</t>
        </is>
      </c>
      <c r="C62" s="7" t="inlineStr">
        <is>
          <t>RW</t>
        </is>
      </c>
      <c r="D62" s="8" t="inlineStr">
        <is>
          <t>0x00000800</t>
        </is>
      </c>
      <c r="E62" s="9" t="inlineStr">
        <is>
          <t>32b</t>
        </is>
      </c>
      <c r="F62" s="10" t="inlineStr">
        <is>
          <t>ADCS derivative gain Kd. Q4.12. Default 0.5.</t>
        </is>
      </c>
      <c r="G62" s="9" t="inlineStr">
        <is>
          <t>2</t>
        </is>
      </c>
    </row>
    <row r="63" ht="46" customHeight="1">
      <c r="A63" s="5" t="inlineStr">
        <is>
          <t>0x2020</t>
        </is>
      </c>
      <c r="B63" s="6" t="inlineStr">
        <is>
          <t>ADCS_KI</t>
        </is>
      </c>
      <c r="C63" s="7" t="inlineStr">
        <is>
          <t>RW</t>
        </is>
      </c>
      <c r="D63" s="8" t="inlineStr">
        <is>
          <t>0x00000100</t>
        </is>
      </c>
      <c r="E63" s="9" t="inlineStr">
        <is>
          <t>32b</t>
        </is>
      </c>
      <c r="F63" s="10" t="inlineStr">
        <is>
          <t>ADCS integral gain Ki. Q4.12. Default 0.0625. Anti-windup active.</t>
        </is>
      </c>
      <c r="G63" s="9" t="inlineStr">
        <is>
          <t>2</t>
        </is>
      </c>
    </row>
    <row r="64" ht="46" customHeight="1">
      <c r="A64" s="5" t="inlineStr">
        <is>
          <t>0x2024</t>
        </is>
      </c>
      <c r="B64" s="6" t="inlineStr">
        <is>
          <t>ADCS_SAT</t>
        </is>
      </c>
      <c r="C64" s="7" t="inlineStr">
        <is>
          <t>RW</t>
        </is>
      </c>
      <c r="D64" s="8" t="inlineStr">
        <is>
          <t>0x7FFF8001</t>
        </is>
      </c>
      <c r="E64" s="9" t="inlineStr">
        <is>
          <t>32b</t>
        </is>
      </c>
      <c r="F64" s="10" t="inlineStr">
        <is>
          <t>ADCS control output saturation. Upper/lower Q1.15 limits.</t>
        </is>
      </c>
      <c r="G64" s="9" t="inlineStr">
        <is>
          <t>2</t>
        </is>
      </c>
    </row>
    <row r="65" ht="46" customHeight="1">
      <c r="A65" s="5" t="inlineStr">
        <is>
          <t>0x2028</t>
        </is>
      </c>
      <c r="B65" s="6" t="inlineStr">
        <is>
          <t>RW_SPEED_LIM</t>
        </is>
      </c>
      <c r="C65" s="7" t="inlineStr">
        <is>
          <t>RW</t>
        </is>
      </c>
      <c r="D65" s="8" t="inlineStr">
        <is>
          <t>0x00003FFF</t>
        </is>
      </c>
      <c r="E65" s="9" t="inlineStr">
        <is>
          <t>32b</t>
        </is>
      </c>
      <c r="F65" s="10" t="inlineStr">
        <is>
          <t>Reaction wheel maximum normalised speed command. Q4.12.</t>
        </is>
      </c>
      <c r="G65" s="9" t="inlineStr">
        <is>
          <t>2</t>
        </is>
      </c>
    </row>
    <row r="66" ht="46" customHeight="1">
      <c r="A66" s="5" t="inlineStr">
        <is>
          <t>0x202C</t>
        </is>
      </c>
      <c r="B66" s="6" t="inlineStr">
        <is>
          <t>MTQ_SCALE</t>
        </is>
      </c>
      <c r="C66" s="7" t="inlineStr">
        <is>
          <t>RW</t>
        </is>
      </c>
      <c r="D66" s="8" t="inlineStr">
        <is>
          <t>0x00001000</t>
        </is>
      </c>
      <c r="E66" s="9" t="inlineStr">
        <is>
          <t>32b</t>
        </is>
      </c>
      <c r="F66" s="10" t="inlineStr">
        <is>
          <t>Magnetorquer dipole-moment scale factor. Q4.12. Default 1.0.</t>
        </is>
      </c>
      <c r="G66" s="9" t="inlineStr">
        <is>
          <t>2</t>
        </is>
      </c>
    </row>
    <row r="67" ht="46" customHeight="1">
      <c r="A67" s="5" t="inlineStr">
        <is>
          <t>0x2030</t>
        </is>
      </c>
      <c r="B67" s="6" t="inlineStr">
        <is>
          <t>LASER_RANGE</t>
        </is>
      </c>
      <c r="C67" s="7" t="inlineStr">
        <is>
          <t>RW</t>
        </is>
      </c>
      <c r="D67" s="8" t="inlineStr">
        <is>
          <t>0x00A00050</t>
        </is>
      </c>
      <c r="E67" s="9" t="inlineStr">
        <is>
          <t>32b</t>
        </is>
      </c>
      <c r="F67" s="10" t="inlineStr">
        <is>
          <t>Laser search scan angular half-range. Upper 16 = azimuth (×0.01 deg), lower = elevation.</t>
        </is>
      </c>
      <c r="G67" s="9" t="inlineStr">
        <is>
          <t>2</t>
        </is>
      </c>
    </row>
    <row r="68" ht="46" customHeight="1">
      <c r="A68" s="5" t="inlineStr">
        <is>
          <t>0x2034</t>
        </is>
      </c>
      <c r="B68" s="6" t="inlineStr">
        <is>
          <t>LASER_THRESH</t>
        </is>
      </c>
      <c r="C68" s="7" t="inlineStr">
        <is>
          <t>RW</t>
        </is>
      </c>
      <c r="D68" s="8" t="inlineStr">
        <is>
          <t>0x08000400</t>
        </is>
      </c>
      <c r="E68" s="9" t="inlineStr">
        <is>
          <t>32b</t>
        </is>
      </c>
      <c r="F68" s="10" t="inlineStr">
        <is>
          <t>Laser signal strength thresholds. Upper=TRACK, lower=ACQUIRE.</t>
        </is>
      </c>
      <c r="G68" s="9" t="inlineStr">
        <is>
          <t>2</t>
        </is>
      </c>
    </row>
    <row r="69" ht="46" customHeight="1">
      <c r="A69" s="5" t="inlineStr">
        <is>
          <t>0x2038</t>
        </is>
      </c>
      <c r="B69" s="6" t="inlineStr">
        <is>
          <t>LASER_STEP_RATE</t>
        </is>
      </c>
      <c r="C69" s="7" t="inlineStr">
        <is>
          <t>RW</t>
        </is>
      </c>
      <c r="D69" s="8" t="inlineStr">
        <is>
          <t>0x13881388</t>
        </is>
      </c>
      <c r="E69" s="9" t="inlineStr">
        <is>
          <t>32b</t>
        </is>
      </c>
      <c r="F69" s="10" t="inlineStr">
        <is>
          <t>Laser gimbal stepper max step rate (steps/sec). Upper=azimuth, lower=elevation.</t>
        </is>
      </c>
      <c r="G69" s="9" t="inlineStr">
        <is>
          <t>2</t>
        </is>
      </c>
    </row>
    <row r="70" ht="46" customHeight="1">
      <c r="A70" s="5" t="inlineStr">
        <is>
          <t>0x203C</t>
        </is>
      </c>
      <c r="B70" s="6" t="inlineStr">
        <is>
          <t>TLE_EPOCH_HI</t>
        </is>
      </c>
      <c r="C70" s="7" t="inlineStr">
        <is>
          <t>RW</t>
        </is>
      </c>
      <c r="D70" s="8" t="inlineStr">
        <is>
          <t>0x00000000</t>
        </is>
      </c>
      <c r="E70" s="9" t="inlineStr">
        <is>
          <t>32b</t>
        </is>
      </c>
      <c r="F70" s="10" t="inlineStr">
        <is>
          <t>TLE epoch Julian date high 32 bits (IEEE-754 double upper half).</t>
        </is>
      </c>
      <c r="G70" s="9" t="inlineStr">
        <is>
          <t>1</t>
        </is>
      </c>
    </row>
    <row r="71" ht="46" customHeight="1">
      <c r="A71" s="5" t="inlineStr">
        <is>
          <t>0x2040</t>
        </is>
      </c>
      <c r="B71" s="6" t="inlineStr">
        <is>
          <t>TLE_EPOCH_LO</t>
        </is>
      </c>
      <c r="C71" s="7" t="inlineStr">
        <is>
          <t>RW</t>
        </is>
      </c>
      <c r="D71" s="8" t="inlineStr">
        <is>
          <t>0x00000000</t>
        </is>
      </c>
      <c r="E71" s="9" t="inlineStr">
        <is>
          <t>32b</t>
        </is>
      </c>
      <c r="F71" s="10" t="inlineStr">
        <is>
          <t>TLE epoch Julian date low 32 bits.</t>
        </is>
      </c>
      <c r="G71" s="9" t="inlineStr">
        <is>
          <t>1</t>
        </is>
      </c>
    </row>
    <row r="72" ht="46" customHeight="1">
      <c r="A72" s="5" t="inlineStr">
        <is>
          <t>0x2044</t>
        </is>
      </c>
      <c r="B72" s="6" t="inlineStr">
        <is>
          <t>TLE_INCL</t>
        </is>
      </c>
      <c r="C72" s="7" t="inlineStr">
        <is>
          <t>RW</t>
        </is>
      </c>
      <c r="D72" s="8" t="inlineStr">
        <is>
          <t>0x00000000</t>
        </is>
      </c>
      <c r="E72" s="9" t="inlineStr">
        <is>
          <t>32b</t>
        </is>
      </c>
      <c r="F72" s="10" t="inlineStr">
        <is>
          <t>TLE orbital inclination. Q10.22 degrees. Triggers SGP4 re-init on write.</t>
        </is>
      </c>
      <c r="G72" s="9" t="inlineStr">
        <is>
          <t>1</t>
        </is>
      </c>
    </row>
    <row r="73" ht="46" customHeight="1">
      <c r="A73" s="5" t="inlineStr">
        <is>
          <t>0x2048</t>
        </is>
      </c>
      <c r="B73" s="6" t="inlineStr">
        <is>
          <t>TLM_PERIOD</t>
        </is>
      </c>
      <c r="C73" s="7" t="inlineStr">
        <is>
          <t>RW</t>
        </is>
      </c>
      <c r="D73" s="8" t="inlineStr">
        <is>
          <t>0x00000001</t>
        </is>
      </c>
      <c r="E73" s="9" t="inlineStr">
        <is>
          <t>32b</t>
        </is>
      </c>
      <c r="F73" s="10" t="inlineStr">
        <is>
          <t>Telemetry downlink period in whole seconds.</t>
        </is>
      </c>
      <c r="G73" s="9" t="inlineStr">
        <is>
          <t>2</t>
        </is>
      </c>
    </row>
    <row r="74" ht="46" customHeight="1">
      <c r="A74" s="5" t="inlineStr">
        <is>
          <t>0x204C</t>
        </is>
      </c>
      <c r="B74" s="6" t="inlineStr">
        <is>
          <t>TLM_ENABLE</t>
        </is>
      </c>
      <c r="C74" s="7" t="inlineStr">
        <is>
          <t>RW</t>
        </is>
      </c>
      <c r="D74" s="8" t="inlineStr">
        <is>
          <t>0x00000007</t>
        </is>
      </c>
      <c r="E74" s="9" t="inlineStr">
        <is>
          <t>32b</t>
        </is>
      </c>
      <c r="F74" s="10" t="inlineStr">
        <is>
          <t>Telemetry packet enable bitmask (APID types).</t>
        </is>
      </c>
      <c r="G74" s="9" t="inlineStr">
        <is>
          <t>4</t>
        </is>
      </c>
    </row>
    <row r="75" ht="46" customHeight="1">
      <c r="A75" s="5" t="inlineStr">
        <is>
          <t>0x2050</t>
        </is>
      </c>
      <c r="B75" s="11" t="inlineStr">
        <is>
          <t>DBG_IMU_CNT</t>
        </is>
      </c>
      <c r="C75" s="12" t="inlineStr">
        <is>
          <t>RO</t>
        </is>
      </c>
      <c r="D75" s="13" t="inlineStr">
        <is>
          <t>0x00000000</t>
        </is>
      </c>
      <c r="E75" s="14" t="inlineStr">
        <is>
          <t>32b</t>
        </is>
      </c>
      <c r="F75" s="15" t="inlineStr">
        <is>
          <t>IMU SPI frame counter. Increments at 100 Hz. Verify IMU health by polling.</t>
        </is>
      </c>
      <c r="G75" s="14" t="inlineStr">
        <is>
          <t>1</t>
        </is>
      </c>
    </row>
    <row r="76" ht="46" customHeight="1">
      <c r="A76" s="5" t="inlineStr">
        <is>
          <t>0x2054</t>
        </is>
      </c>
      <c r="B76" s="11" t="inlineStr">
        <is>
          <t>DBG_EKF_CNT</t>
        </is>
      </c>
      <c r="C76" s="12" t="inlineStr">
        <is>
          <t>RO</t>
        </is>
      </c>
      <c r="D76" s="13" t="inlineStr">
        <is>
          <t>0x00000000</t>
        </is>
      </c>
      <c r="E76" s="14" t="inlineStr">
        <is>
          <t>32b</t>
        </is>
      </c>
      <c r="F76" s="15" t="inlineStr">
        <is>
          <t>EKF predict iteration counter.</t>
        </is>
      </c>
      <c r="G76" s="14" t="inlineStr">
        <is>
          <t>1</t>
        </is>
      </c>
    </row>
    <row r="77" ht="46" customHeight="1">
      <c r="A77" s="5" t="inlineStr">
        <is>
          <t>0x2058</t>
        </is>
      </c>
      <c r="B77" s="11" t="inlineStr">
        <is>
          <t>DBG_LASER_CNT</t>
        </is>
      </c>
      <c r="C77" s="12" t="inlineStr">
        <is>
          <t>RO</t>
        </is>
      </c>
      <c r="D77" s="13" t="inlineStr">
        <is>
          <t>0x00000000</t>
        </is>
      </c>
      <c r="E77" s="14" t="inlineStr">
        <is>
          <t>32b</t>
        </is>
      </c>
      <c r="F77" s="15" t="inlineStr">
        <is>
          <t>Laser acquisition attempt counters.</t>
        </is>
      </c>
      <c r="G77" s="14" t="inlineStr">
        <is>
          <t>2</t>
        </is>
      </c>
    </row>
    <row r="78" ht="46" customHeight="1">
      <c r="A78" s="5" t="inlineStr">
        <is>
          <t>0x205C</t>
        </is>
      </c>
      <c r="B78" s="16" t="inlineStr">
        <is>
          <t>DBG_FAULT_LOG</t>
        </is>
      </c>
      <c r="C78" s="17" t="inlineStr">
        <is>
          <t>W1C</t>
        </is>
      </c>
      <c r="D78" s="18" t="inlineStr">
        <is>
          <t>0x00000000</t>
        </is>
      </c>
      <c r="E78" s="19" t="inlineStr">
        <is>
          <t>32b</t>
        </is>
      </c>
      <c r="F78" s="20" t="inlineStr">
        <is>
          <t>Latched fault bits. Write 1 to each bit to clear it individually.</t>
        </is>
      </c>
      <c r="G78" s="19" t="inlineStr">
        <is>
          <t>9</t>
        </is>
      </c>
    </row>
    <row r="79" ht="22" customHeight="1">
      <c r="A79" s="21" t="inlineStr">
        <is>
          <t>▶  UAV 1   (0x3000 – 0x3FFF)</t>
        </is>
      </c>
    </row>
    <row r="80" ht="46" customHeight="1">
      <c r="A80" s="22" t="inlineStr">
        <is>
          <t>0x3000</t>
        </is>
      </c>
      <c r="B80" s="6" t="inlineStr">
        <is>
          <t>UAV_CTRL</t>
        </is>
      </c>
      <c r="C80" s="7" t="inlineStr">
        <is>
          <t>RW</t>
        </is>
      </c>
      <c r="D80" s="8" t="inlineStr">
        <is>
          <t>0x00000001</t>
        </is>
      </c>
      <c r="E80" s="9" t="inlineStr">
        <is>
          <t>32b</t>
        </is>
      </c>
      <c r="F80" s="10" t="inlineStr">
        <is>
          <t>UAV1 Master Control. Enable, arm, flight mode.</t>
        </is>
      </c>
      <c r="G80" s="9" t="inlineStr">
        <is>
          <t>9</t>
        </is>
      </c>
    </row>
    <row r="81" ht="46" customHeight="1">
      <c r="A81" s="22" t="inlineStr">
        <is>
          <t>0x3004</t>
        </is>
      </c>
      <c r="B81" s="11" t="inlineStr">
        <is>
          <t>UAV_STATUS</t>
        </is>
      </c>
      <c r="C81" s="12" t="inlineStr">
        <is>
          <t>RO</t>
        </is>
      </c>
      <c r="D81" s="13" t="inlineStr">
        <is>
          <t>0x00000000</t>
        </is>
      </c>
      <c r="E81" s="14" t="inlineStr">
        <is>
          <t>32b</t>
        </is>
      </c>
      <c r="F81" s="15" t="inlineStr">
        <is>
          <t>UAV1 Status. FSM state, sensor health, CA flags.</t>
        </is>
      </c>
      <c r="G81" s="14" t="inlineStr">
        <is>
          <t>14</t>
        </is>
      </c>
    </row>
    <row r="82" ht="46" customHeight="1">
      <c r="A82" s="22" t="inlineStr">
        <is>
          <t>0x3008</t>
        </is>
      </c>
      <c r="B82" s="6" t="inlineStr">
        <is>
          <t>EKF9_Q_POS</t>
        </is>
      </c>
      <c r="C82" s="7" t="inlineStr">
        <is>
          <t>RW</t>
        </is>
      </c>
      <c r="D82" s="8" t="inlineStr">
        <is>
          <t>0x02A3D70A</t>
        </is>
      </c>
      <c r="E82" s="9" t="inlineStr">
        <is>
          <t>32b</t>
        </is>
      </c>
      <c r="F82" s="10" t="inlineStr">
        <is>
          <t>9-state EKF position process noise. Q10.22. Default 0.25 m² (σ=0.5 m).</t>
        </is>
      </c>
      <c r="G82" s="9" t="inlineStr">
        <is>
          <t>1</t>
        </is>
      </c>
    </row>
    <row r="83" ht="46" customHeight="1">
      <c r="A83" s="22" t="inlineStr">
        <is>
          <t>0x300C</t>
        </is>
      </c>
      <c r="B83" s="6" t="inlineStr">
        <is>
          <t>EKF9_Q_VEL</t>
        </is>
      </c>
      <c r="C83" s="7" t="inlineStr">
        <is>
          <t>RW</t>
        </is>
      </c>
      <c r="D83" s="8" t="inlineStr">
        <is>
          <t>0x00418937</t>
        </is>
      </c>
      <c r="E83" s="9" t="inlineStr">
        <is>
          <t>32b</t>
        </is>
      </c>
      <c r="F83" s="10" t="inlineStr">
        <is>
          <t>9-state EKF velocity process noise. Q4.28. Default 0.0025 (m/s)².</t>
        </is>
      </c>
      <c r="G83" s="9" t="inlineStr">
        <is>
          <t>1</t>
        </is>
      </c>
    </row>
    <row r="84" ht="46" customHeight="1">
      <c r="A84" s="22" t="inlineStr">
        <is>
          <t>0x3010</t>
        </is>
      </c>
      <c r="B84" s="6" t="inlineStr">
        <is>
          <t>EKF9_Q_ANG</t>
        </is>
      </c>
      <c r="C84" s="7" t="inlineStr">
        <is>
          <t>RW</t>
        </is>
      </c>
      <c r="D84" s="8" t="inlineStr">
        <is>
          <t>0x000010C7</t>
        </is>
      </c>
      <c r="E84" s="9" t="inlineStr">
        <is>
          <t>32b</t>
        </is>
      </c>
      <c r="F84" s="10" t="inlineStr">
        <is>
          <t>9-state EKF angle process noise. Q3.29. Default 0.001 rad².</t>
        </is>
      </c>
      <c r="G84" s="9" t="inlineStr">
        <is>
          <t>1</t>
        </is>
      </c>
    </row>
    <row r="85" ht="46" customHeight="1">
      <c r="A85" s="22" t="inlineStr">
        <is>
          <t>0x3014</t>
        </is>
      </c>
      <c r="B85" s="6" t="inlineStr">
        <is>
          <t>EKF9_R_GPS_P</t>
        </is>
      </c>
      <c r="C85" s="7" t="inlineStr">
        <is>
          <t>RW</t>
        </is>
      </c>
      <c r="D85" s="8" t="inlineStr">
        <is>
          <t>0x02400000</t>
        </is>
      </c>
      <c r="E85" s="9" t="inlineStr">
        <is>
          <t>32b</t>
        </is>
      </c>
      <c r="F85" s="10" t="inlineStr">
        <is>
          <t>GPS position measurement noise. Q10.22. Default 9.0 m² (σ=3 m).</t>
        </is>
      </c>
      <c r="G85" s="9" t="inlineStr">
        <is>
          <t>1</t>
        </is>
      </c>
    </row>
    <row r="86" ht="46" customHeight="1">
      <c r="A86" s="22" t="inlineStr">
        <is>
          <t>0x3018</t>
        </is>
      </c>
      <c r="B86" s="6" t="inlineStr">
        <is>
          <t>EKF9_R_GPS_V</t>
        </is>
      </c>
      <c r="C86" s="7" t="inlineStr">
        <is>
          <t>RW</t>
        </is>
      </c>
      <c r="D86" s="8" t="inlineStr">
        <is>
          <t>0x00028F5C</t>
        </is>
      </c>
      <c r="E86" s="9" t="inlineStr">
        <is>
          <t>32b</t>
        </is>
      </c>
      <c r="F86" s="10" t="inlineStr">
        <is>
          <t>GPS velocity measurement noise. Q4.28. Default 0.01 (m/s)².</t>
        </is>
      </c>
      <c r="G86" s="9" t="inlineStr">
        <is>
          <t>1</t>
        </is>
      </c>
    </row>
    <row r="87" ht="46" customHeight="1">
      <c r="A87" s="22" t="inlineStr">
        <is>
          <t>0x301C</t>
        </is>
      </c>
      <c r="B87" s="6" t="inlineStr">
        <is>
          <t>EKF9_R_BARO</t>
        </is>
      </c>
      <c r="C87" s="7" t="inlineStr">
        <is>
          <t>RW</t>
        </is>
      </c>
      <c r="D87" s="8" t="inlineStr">
        <is>
          <t>0x00100000</t>
        </is>
      </c>
      <c r="E87" s="9" t="inlineStr">
        <is>
          <t>32b</t>
        </is>
      </c>
      <c r="F87" s="10" t="inlineStr">
        <is>
          <t>Barometer altitude noise. Q10.22. Default 0.25 m² (σ=0.5 m).</t>
        </is>
      </c>
      <c r="G87" s="9" t="inlineStr">
        <is>
          <t>1</t>
        </is>
      </c>
    </row>
    <row r="88" ht="46" customHeight="1">
      <c r="A88" s="22" t="inlineStr">
        <is>
          <t>0x3020</t>
        </is>
      </c>
      <c r="B88" s="6" t="inlineStr">
        <is>
          <t>EKF9_GPS_GATE</t>
        </is>
      </c>
      <c r="C88" s="7" t="inlineStr">
        <is>
          <t>RW</t>
        </is>
      </c>
      <c r="D88" s="8" t="inlineStr">
        <is>
          <t>0x00000005</t>
        </is>
      </c>
      <c r="E88" s="9" t="inlineStr">
        <is>
          <t>32b</t>
        </is>
      </c>
      <c r="F88" s="10" t="inlineStr">
        <is>
          <t>GPS innovation rejection gate (sigma multiple).</t>
        </is>
      </c>
      <c r="G88" s="9" t="inlineStr">
        <is>
          <t>2</t>
        </is>
      </c>
    </row>
    <row r="89" ht="46" customHeight="1">
      <c r="A89" s="22" t="inlineStr">
        <is>
          <t>0x3024</t>
        </is>
      </c>
      <c r="B89" s="6" t="inlineStr">
        <is>
          <t>PID_RATE_KP</t>
        </is>
      </c>
      <c r="C89" s="7" t="inlineStr">
        <is>
          <t>RW</t>
        </is>
      </c>
      <c r="D89" s="8" t="inlineStr">
        <is>
          <t>0x00001800</t>
        </is>
      </c>
      <c r="E89" s="9" t="inlineStr">
        <is>
          <t>32b</t>
        </is>
      </c>
      <c r="F89" s="10" t="inlineStr">
        <is>
          <t>Roll/pitch/yaw rate PID Kp. Q4.12. Same for all three axes (override per-axis via 0x28-0x3C).</t>
        </is>
      </c>
      <c r="G89" s="9" t="inlineStr">
        <is>
          <t>2</t>
        </is>
      </c>
    </row>
    <row r="90" ht="46" customHeight="1">
      <c r="A90" s="22" t="inlineStr">
        <is>
          <t>0x3028</t>
        </is>
      </c>
      <c r="B90" s="6" t="inlineStr">
        <is>
          <t>PID_ROLL_KP</t>
        </is>
      </c>
      <c r="C90" s="7" t="inlineStr">
        <is>
          <t>RW</t>
        </is>
      </c>
      <c r="D90" s="8" t="inlineStr">
        <is>
          <t>0x00001800</t>
        </is>
      </c>
      <c r="E90" s="9" t="inlineStr">
        <is>
          <t>32b</t>
        </is>
      </c>
      <c r="F90" s="10" t="inlineStr">
        <is>
          <t>Roll rate Kp override. Q4.12. Overrides global KP_RATE for roll axis.</t>
        </is>
      </c>
      <c r="G90" s="9" t="inlineStr">
        <is>
          <t>2</t>
        </is>
      </c>
    </row>
    <row r="91" ht="46" customHeight="1">
      <c r="A91" s="22" t="inlineStr">
        <is>
          <t>0x302C</t>
        </is>
      </c>
      <c r="B91" s="6" t="inlineStr">
        <is>
          <t>PID_ROLL_KI</t>
        </is>
      </c>
      <c r="C91" s="7" t="inlineStr">
        <is>
          <t>RW</t>
        </is>
      </c>
      <c r="D91" s="8" t="inlineStr">
        <is>
          <t>0x00000200</t>
        </is>
      </c>
      <c r="E91" s="9" t="inlineStr">
        <is>
          <t>32b</t>
        </is>
      </c>
      <c r="F91" s="10" t="inlineStr">
        <is>
          <t>Roll rate Ki. Q4.12. Default 0.125.</t>
        </is>
      </c>
      <c r="G91" s="9" t="inlineStr">
        <is>
          <t>2</t>
        </is>
      </c>
    </row>
    <row r="92" ht="46" customHeight="1">
      <c r="A92" s="22" t="inlineStr">
        <is>
          <t>0x3030</t>
        </is>
      </c>
      <c r="B92" s="6" t="inlineStr">
        <is>
          <t>PID_ROLL_KD</t>
        </is>
      </c>
      <c r="C92" s="7" t="inlineStr">
        <is>
          <t>RW</t>
        </is>
      </c>
      <c r="D92" s="8" t="inlineStr">
        <is>
          <t>0x00000800</t>
        </is>
      </c>
      <c r="E92" s="9" t="inlineStr">
        <is>
          <t>32b</t>
        </is>
      </c>
      <c r="F92" s="10" t="inlineStr">
        <is>
          <t>Roll rate Kd. Q4.12. Default 0.5.</t>
        </is>
      </c>
      <c r="G92" s="9" t="inlineStr">
        <is>
          <t>2</t>
        </is>
      </c>
    </row>
    <row r="93" ht="46" customHeight="1">
      <c r="A93" s="22" t="inlineStr">
        <is>
          <t>0x3034</t>
        </is>
      </c>
      <c r="B93" s="6" t="inlineStr">
        <is>
          <t>PID_PITCH_KP</t>
        </is>
      </c>
      <c r="C93" s="7" t="inlineStr">
        <is>
          <t>RW</t>
        </is>
      </c>
      <c r="D93" s="8" t="inlineStr">
        <is>
          <t>0x00001800</t>
        </is>
      </c>
      <c r="E93" s="9" t="inlineStr">
        <is>
          <t>32b</t>
        </is>
      </c>
      <c r="F93" s="10" t="inlineStr">
        <is>
          <t>Pitch rate Kp. Q4.12.</t>
        </is>
      </c>
      <c r="G93" s="9" t="inlineStr">
        <is>
          <t>2</t>
        </is>
      </c>
    </row>
    <row r="94" ht="46" customHeight="1">
      <c r="A94" s="22" t="inlineStr">
        <is>
          <t>0x3038</t>
        </is>
      </c>
      <c r="B94" s="6" t="inlineStr">
        <is>
          <t>PID_PITCH_KI</t>
        </is>
      </c>
      <c r="C94" s="7" t="inlineStr">
        <is>
          <t>RW</t>
        </is>
      </c>
      <c r="D94" s="8" t="inlineStr">
        <is>
          <t>0x00000200</t>
        </is>
      </c>
      <c r="E94" s="9" t="inlineStr">
        <is>
          <t>32b</t>
        </is>
      </c>
      <c r="F94" s="10" t="inlineStr">
        <is>
          <t>Pitch rate Ki. Q4.12.</t>
        </is>
      </c>
      <c r="G94" s="9" t="inlineStr">
        <is>
          <t>2</t>
        </is>
      </c>
    </row>
    <row r="95" ht="46" customHeight="1">
      <c r="A95" s="22" t="inlineStr">
        <is>
          <t>0x303C</t>
        </is>
      </c>
      <c r="B95" s="6" t="inlineStr">
        <is>
          <t>PID_PITCH_KD</t>
        </is>
      </c>
      <c r="C95" s="7" t="inlineStr">
        <is>
          <t>RW</t>
        </is>
      </c>
      <c r="D95" s="8" t="inlineStr">
        <is>
          <t>0x00000800</t>
        </is>
      </c>
      <c r="E95" s="9" t="inlineStr">
        <is>
          <t>32b</t>
        </is>
      </c>
      <c r="F95" s="10" t="inlineStr">
        <is>
          <t>Pitch rate Kd. Q4.12.</t>
        </is>
      </c>
      <c r="G95" s="9" t="inlineStr">
        <is>
          <t>2</t>
        </is>
      </c>
    </row>
    <row r="96" ht="46" customHeight="1">
      <c r="A96" s="22" t="inlineStr">
        <is>
          <t>0x3040</t>
        </is>
      </c>
      <c r="B96" s="6" t="inlineStr">
        <is>
          <t>PID_YAW_KP</t>
        </is>
      </c>
      <c r="C96" s="7" t="inlineStr">
        <is>
          <t>RW</t>
        </is>
      </c>
      <c r="D96" s="8" t="inlineStr">
        <is>
          <t>0x00001000</t>
        </is>
      </c>
      <c r="E96" s="9" t="inlineStr">
        <is>
          <t>32b</t>
        </is>
      </c>
      <c r="F96" s="10" t="inlineStr">
        <is>
          <t>Yaw rate Kp. Q4.12. Default 1.0.</t>
        </is>
      </c>
      <c r="G96" s="9" t="inlineStr">
        <is>
          <t>2</t>
        </is>
      </c>
    </row>
    <row r="97" ht="46" customHeight="1">
      <c r="A97" s="22" t="inlineStr">
        <is>
          <t>0x3044</t>
        </is>
      </c>
      <c r="B97" s="6" t="inlineStr">
        <is>
          <t>PID_YAW_KI</t>
        </is>
      </c>
      <c r="C97" s="7" t="inlineStr">
        <is>
          <t>RW</t>
        </is>
      </c>
      <c r="D97" s="8" t="inlineStr">
        <is>
          <t>0x00000100</t>
        </is>
      </c>
      <c r="E97" s="9" t="inlineStr">
        <is>
          <t>32b</t>
        </is>
      </c>
      <c r="F97" s="10" t="inlineStr">
        <is>
          <t>Yaw rate Ki. Q4.12.</t>
        </is>
      </c>
      <c r="G97" s="9" t="inlineStr">
        <is>
          <t>2</t>
        </is>
      </c>
    </row>
    <row r="98" ht="46" customHeight="1">
      <c r="A98" s="22" t="inlineStr">
        <is>
          <t>0x3048</t>
        </is>
      </c>
      <c r="B98" s="6" t="inlineStr">
        <is>
          <t>PID_YAW_KD</t>
        </is>
      </c>
      <c r="C98" s="7" t="inlineStr">
        <is>
          <t>RW</t>
        </is>
      </c>
      <c r="D98" s="8" t="inlineStr">
        <is>
          <t>0x00000400</t>
        </is>
      </c>
      <c r="E98" s="9" t="inlineStr">
        <is>
          <t>32b</t>
        </is>
      </c>
      <c r="F98" s="10" t="inlineStr">
        <is>
          <t>Yaw rate Kd. Q4.12.</t>
        </is>
      </c>
      <c r="G98" s="9" t="inlineStr">
        <is>
          <t>2</t>
        </is>
      </c>
    </row>
    <row r="99" ht="46" customHeight="1">
      <c r="A99" s="22" t="inlineStr">
        <is>
          <t>0x304C</t>
        </is>
      </c>
      <c r="B99" s="6" t="inlineStr">
        <is>
          <t>PID_ALT_KP</t>
        </is>
      </c>
      <c r="C99" s="7" t="inlineStr">
        <is>
          <t>RW</t>
        </is>
      </c>
      <c r="D99" s="8" t="inlineStr">
        <is>
          <t>0x00001000</t>
        </is>
      </c>
      <c r="E99" s="9" t="inlineStr">
        <is>
          <t>32b</t>
        </is>
      </c>
      <c r="F99" s="10" t="inlineStr">
        <is>
          <t>Altitude hold outer-loop Kp. Q4.12.</t>
        </is>
      </c>
      <c r="G99" s="9" t="inlineStr">
        <is>
          <t>2</t>
        </is>
      </c>
    </row>
    <row r="100" ht="46" customHeight="1">
      <c r="A100" s="22" t="inlineStr">
        <is>
          <t>0x3050</t>
        </is>
      </c>
      <c r="B100" s="6" t="inlineStr">
        <is>
          <t>PID_ALT_KI</t>
        </is>
      </c>
      <c r="C100" s="7" t="inlineStr">
        <is>
          <t>RW</t>
        </is>
      </c>
      <c r="D100" s="8" t="inlineStr">
        <is>
          <t>0x00000080</t>
        </is>
      </c>
      <c r="E100" s="9" t="inlineStr">
        <is>
          <t>32b</t>
        </is>
      </c>
      <c r="F100" s="10" t="inlineStr">
        <is>
          <t>Altitude hold outer-loop Ki. Q4.12.</t>
        </is>
      </c>
      <c r="G100" s="9" t="inlineStr">
        <is>
          <t>2</t>
        </is>
      </c>
    </row>
    <row r="101" ht="46" customHeight="1">
      <c r="A101" s="22" t="inlineStr">
        <is>
          <t>0x3054</t>
        </is>
      </c>
      <c r="B101" s="6" t="inlineStr">
        <is>
          <t>PID_ALT_KD</t>
        </is>
      </c>
      <c r="C101" s="7" t="inlineStr">
        <is>
          <t>RW</t>
        </is>
      </c>
      <c r="D101" s="8" t="inlineStr">
        <is>
          <t>0x00000200</t>
        </is>
      </c>
      <c r="E101" s="9" t="inlineStr">
        <is>
          <t>32b</t>
        </is>
      </c>
      <c r="F101" s="10" t="inlineStr">
        <is>
          <t>Altitude hold outer-loop Kd. Q4.12.</t>
        </is>
      </c>
      <c r="G101" s="9" t="inlineStr">
        <is>
          <t>2</t>
        </is>
      </c>
    </row>
    <row r="102" ht="46" customHeight="1">
      <c r="A102" s="22" t="inlineStr">
        <is>
          <t>0x3058</t>
        </is>
      </c>
      <c r="B102" s="6" t="inlineStr">
        <is>
          <t>PID_VEL_KP</t>
        </is>
      </c>
      <c r="C102" s="7" t="inlineStr">
        <is>
          <t>RW</t>
        </is>
      </c>
      <c r="D102" s="8" t="inlineStr">
        <is>
          <t>0x00002000</t>
        </is>
      </c>
      <c r="E102" s="9" t="inlineStr">
        <is>
          <t>32b</t>
        </is>
      </c>
      <c r="F102" s="10" t="inlineStr">
        <is>
          <t>Horizontal velocity Kp. Q4.12. Default 2.0.</t>
        </is>
      </c>
      <c r="G102" s="9" t="inlineStr">
        <is>
          <t>2</t>
        </is>
      </c>
    </row>
    <row r="103" ht="46" customHeight="1">
      <c r="A103" s="22" t="inlineStr">
        <is>
          <t>0x305C</t>
        </is>
      </c>
      <c r="B103" s="6" t="inlineStr">
        <is>
          <t>PID_VEL_KI</t>
        </is>
      </c>
      <c r="C103" s="7" t="inlineStr">
        <is>
          <t>RW</t>
        </is>
      </c>
      <c r="D103" s="8" t="inlineStr">
        <is>
          <t>0x00000100</t>
        </is>
      </c>
      <c r="E103" s="9" t="inlineStr">
        <is>
          <t>32b</t>
        </is>
      </c>
      <c r="F103" s="10" t="inlineStr">
        <is>
          <t>Horizontal velocity Ki. Q4.12.</t>
        </is>
      </c>
      <c r="G103" s="9" t="inlineStr">
        <is>
          <t>2</t>
        </is>
      </c>
    </row>
    <row r="104" ht="46" customHeight="1">
      <c r="A104" s="22" t="inlineStr">
        <is>
          <t>0x3060</t>
        </is>
      </c>
      <c r="B104" s="6" t="inlineStr">
        <is>
          <t>NAV_FENCE_R</t>
        </is>
      </c>
      <c r="C104" s="7" t="inlineStr">
        <is>
          <t>RW</t>
        </is>
      </c>
      <c r="D104" s="8" t="inlineStr">
        <is>
          <t>0x000001F4</t>
        </is>
      </c>
      <c r="E104" s="9" t="inlineStr">
        <is>
          <t>32b</t>
        </is>
      </c>
      <c r="F104" s="10" t="inlineStr">
        <is>
          <t>Geofence cylinder radius metres.</t>
        </is>
      </c>
      <c r="G104" s="9" t="inlineStr">
        <is>
          <t>2</t>
        </is>
      </c>
    </row>
    <row r="105" ht="46" customHeight="1">
      <c r="A105" s="22" t="inlineStr">
        <is>
          <t>0x3064</t>
        </is>
      </c>
      <c r="B105" s="6" t="inlineStr">
        <is>
          <t>NAV_FENCE_ALT</t>
        </is>
      </c>
      <c r="C105" s="7" t="inlineStr">
        <is>
          <t>RW</t>
        </is>
      </c>
      <c r="D105" s="8" t="inlineStr">
        <is>
          <t>0x000000C8</t>
        </is>
      </c>
      <c r="E105" s="9" t="inlineStr">
        <is>
          <t>32b</t>
        </is>
      </c>
      <c r="F105" s="10" t="inlineStr">
        <is>
          <t>Geofence max altitude AGL metres.</t>
        </is>
      </c>
      <c r="G105" s="9" t="inlineStr">
        <is>
          <t>2</t>
        </is>
      </c>
    </row>
    <row r="106" ht="46" customHeight="1">
      <c r="A106" s="22" t="inlineStr">
        <is>
          <t>0x3068</t>
        </is>
      </c>
      <c r="B106" s="6" t="inlineStr">
        <is>
          <t>NAV_TKOFF_ALT</t>
        </is>
      </c>
      <c r="C106" s="7" t="inlineStr">
        <is>
          <t>RW</t>
        </is>
      </c>
      <c r="D106" s="8" t="inlineStr">
        <is>
          <t>0x0000000A</t>
        </is>
      </c>
      <c r="E106" s="9" t="inlineStr">
        <is>
          <t>32b</t>
        </is>
      </c>
      <c r="F106" s="10" t="inlineStr">
        <is>
          <t>Auto-takeoff target altitude AGL metres.</t>
        </is>
      </c>
      <c r="G106" s="9" t="inlineStr">
        <is>
          <t>2</t>
        </is>
      </c>
    </row>
    <row r="107" ht="46" customHeight="1">
      <c r="A107" s="22" t="inlineStr">
        <is>
          <t>0x306C</t>
        </is>
      </c>
      <c r="B107" s="6" t="inlineStr">
        <is>
          <t>NAV_WP_RADIUS</t>
        </is>
      </c>
      <c r="C107" s="7" t="inlineStr">
        <is>
          <t>RW</t>
        </is>
      </c>
      <c r="D107" s="8" t="inlineStr">
        <is>
          <t>0x00000002</t>
        </is>
      </c>
      <c r="E107" s="9" t="inlineStr">
        <is>
          <t>32b</t>
        </is>
      </c>
      <c r="F107" s="10" t="inlineStr">
        <is>
          <t>Waypoint capture radius metres.</t>
        </is>
      </c>
      <c r="G107" s="9" t="inlineStr">
        <is>
          <t>2</t>
        </is>
      </c>
    </row>
    <row r="108" ht="46" customHeight="1">
      <c r="A108" s="22" t="inlineStr">
        <is>
          <t>0x3070</t>
        </is>
      </c>
      <c r="B108" s="6" t="inlineStr">
        <is>
          <t>NAV_RTL_ALT</t>
        </is>
      </c>
      <c r="C108" s="7" t="inlineStr">
        <is>
          <t>RW</t>
        </is>
      </c>
      <c r="D108" s="8" t="inlineStr">
        <is>
          <t>0x00000032</t>
        </is>
      </c>
      <c r="E108" s="9" t="inlineStr">
        <is>
          <t>32b</t>
        </is>
      </c>
      <c r="F108" s="10" t="inlineStr">
        <is>
          <t>RTL altitude AGL metres.</t>
        </is>
      </c>
      <c r="G108" s="9" t="inlineStr">
        <is>
          <t>2</t>
        </is>
      </c>
    </row>
    <row r="109" ht="46" customHeight="1">
      <c r="A109" s="22" t="inlineStr">
        <is>
          <t>0x3074</t>
        </is>
      </c>
      <c r="B109" s="6" t="inlineStr">
        <is>
          <t>MAV_SYSID</t>
        </is>
      </c>
      <c r="C109" s="7" t="inlineStr">
        <is>
          <t>RW</t>
        </is>
      </c>
      <c r="D109" s="8" t="inlineStr">
        <is>
          <t>0x00000101</t>
        </is>
      </c>
      <c r="E109" s="9" t="inlineStr">
        <is>
          <t>32b</t>
        </is>
      </c>
      <c r="F109" s="10" t="inlineStr">
        <is>
          <t>MAVLink SYSID / COMPID.</t>
        </is>
      </c>
      <c r="G109" s="9" t="inlineStr">
        <is>
          <t>3</t>
        </is>
      </c>
    </row>
    <row r="110" ht="46" customHeight="1">
      <c r="A110" s="22" t="inlineStr">
        <is>
          <t>0x3078</t>
        </is>
      </c>
      <c r="B110" s="6" t="inlineStr">
        <is>
          <t>MOTOR_PWM_MIN</t>
        </is>
      </c>
      <c r="C110" s="7" t="inlineStr">
        <is>
          <t>RW</t>
        </is>
      </c>
      <c r="D110" s="8" t="inlineStr">
        <is>
          <t>0x000003E8</t>
        </is>
      </c>
      <c r="E110" s="9" t="inlineStr">
        <is>
          <t>32b</t>
        </is>
      </c>
      <c r="F110" s="10" t="inlineStr">
        <is>
          <t>ESC minimum PWM microseconds (armed idle).</t>
        </is>
      </c>
      <c r="G110" s="9" t="inlineStr">
        <is>
          <t>2</t>
        </is>
      </c>
    </row>
    <row r="111" ht="46" customHeight="1">
      <c r="A111" s="22" t="inlineStr">
        <is>
          <t>0x307C</t>
        </is>
      </c>
      <c r="B111" s="6" t="inlineStr">
        <is>
          <t>MOTOR_PWM_MAX</t>
        </is>
      </c>
      <c r="C111" s="7" t="inlineStr">
        <is>
          <t>RW</t>
        </is>
      </c>
      <c r="D111" s="8" t="inlineStr">
        <is>
          <t>0x000007D0</t>
        </is>
      </c>
      <c r="E111" s="9" t="inlineStr">
        <is>
          <t>32b</t>
        </is>
      </c>
      <c r="F111" s="10" t="inlineStr">
        <is>
          <t>ESC maximum PWM microseconds (full throttle).</t>
        </is>
      </c>
      <c r="G111" s="9" t="inlineStr">
        <is>
          <t>2</t>
        </is>
      </c>
    </row>
    <row r="112" ht="46" customHeight="1">
      <c r="A112" s="22" t="inlineStr">
        <is>
          <t>0x3080</t>
        </is>
      </c>
      <c r="B112" s="6" t="inlineStr">
        <is>
          <t>MOTOR_FREQ</t>
        </is>
      </c>
      <c r="C112" s="7" t="inlineStr">
        <is>
          <t>RW</t>
        </is>
      </c>
      <c r="D112" s="8" t="inlineStr">
        <is>
          <t>0x00000190</t>
        </is>
      </c>
      <c r="E112" s="9" t="inlineStr">
        <is>
          <t>32b</t>
        </is>
      </c>
      <c r="F112" s="10" t="inlineStr">
        <is>
          <t>ESC PWM carrier frequency Hz (50–400).</t>
        </is>
      </c>
      <c r="G112" s="9" t="inlineStr">
        <is>
          <t>2</t>
        </is>
      </c>
    </row>
    <row r="113" ht="46" customHeight="1">
      <c r="A113" s="22" t="inlineStr">
        <is>
          <t>0x3084</t>
        </is>
      </c>
      <c r="B113" s="11" t="inlineStr">
        <is>
          <t>DBG_GPS_CNT</t>
        </is>
      </c>
      <c r="C113" s="12" t="inlineStr">
        <is>
          <t>RO</t>
        </is>
      </c>
      <c r="D113" s="13" t="inlineStr">
        <is>
          <t>0x00000000</t>
        </is>
      </c>
      <c r="E113" s="14" t="inlineStr">
        <is>
          <t>32b</t>
        </is>
      </c>
      <c r="F113" s="15" t="inlineStr">
        <is>
          <t>GPS valid-fix frame counter (10 Hz).</t>
        </is>
      </c>
      <c r="G113" s="14" t="inlineStr">
        <is>
          <t>1</t>
        </is>
      </c>
    </row>
    <row r="114" ht="46" customHeight="1">
      <c r="A114" s="22" t="inlineStr">
        <is>
          <t>0x3088</t>
        </is>
      </c>
      <c r="B114" s="11" t="inlineStr">
        <is>
          <t>DBG_PID_CNT</t>
        </is>
      </c>
      <c r="C114" s="12" t="inlineStr">
        <is>
          <t>RO</t>
        </is>
      </c>
      <c r="D114" s="13" t="inlineStr">
        <is>
          <t>0x00000000</t>
        </is>
      </c>
      <c r="E114" s="14" t="inlineStr">
        <is>
          <t>32b</t>
        </is>
      </c>
      <c r="F114" s="15" t="inlineStr">
        <is>
          <t>PID inner-loop compute counter (1 kHz).</t>
        </is>
      </c>
      <c r="G114" s="14" t="inlineStr">
        <is>
          <t>1</t>
        </is>
      </c>
    </row>
    <row r="115" ht="46" customHeight="1">
      <c r="A115" s="22" t="inlineStr">
        <is>
          <t>0x308C</t>
        </is>
      </c>
      <c r="B115" s="11" t="inlineStr">
        <is>
          <t>DBG_CA_EVTS</t>
        </is>
      </c>
      <c r="C115" s="12" t="inlineStr">
        <is>
          <t>RO</t>
        </is>
      </c>
      <c r="D115" s="13" t="inlineStr">
        <is>
          <t>0x00000000</t>
        </is>
      </c>
      <c r="E115" s="14" t="inlineStr">
        <is>
          <t>32b</t>
        </is>
      </c>
      <c r="F115" s="15" t="inlineStr">
        <is>
          <t>CA event counters.</t>
        </is>
      </c>
      <c r="G115" s="14" t="inlineStr">
        <is>
          <t>2</t>
        </is>
      </c>
    </row>
    <row r="116" ht="46" customHeight="1">
      <c r="A116" s="22" t="inlineStr">
        <is>
          <t>0x3090</t>
        </is>
      </c>
      <c r="B116" s="16" t="inlineStr">
        <is>
          <t>DBG_FAULT_LOG</t>
        </is>
      </c>
      <c r="C116" s="17" t="inlineStr">
        <is>
          <t>W1C</t>
        </is>
      </c>
      <c r="D116" s="18" t="inlineStr">
        <is>
          <t>0x00000000</t>
        </is>
      </c>
      <c r="E116" s="19" t="inlineStr">
        <is>
          <t>32b</t>
        </is>
      </c>
      <c r="F116" s="20" t="inlineStr">
        <is>
          <t>UAV latched fault log. Write 1 to clear individual bits.</t>
        </is>
      </c>
      <c r="G116" s="19" t="inlineStr">
        <is>
          <t>9</t>
        </is>
      </c>
    </row>
    <row r="117" ht="22" customHeight="1">
      <c r="A117" s="21" t="inlineStr">
        <is>
          <t>▶  UAV 2   (0x4000 – 0x4FFF)</t>
        </is>
      </c>
    </row>
    <row r="118" ht="46" customHeight="1">
      <c r="A118" s="22" t="inlineStr">
        <is>
          <t>0x4000</t>
        </is>
      </c>
      <c r="B118" s="6" t="inlineStr">
        <is>
          <t>UAV_CTRL</t>
        </is>
      </c>
      <c r="C118" s="7" t="inlineStr">
        <is>
          <t>RW</t>
        </is>
      </c>
      <c r="D118" s="8" t="inlineStr">
        <is>
          <t>0x00000001</t>
        </is>
      </c>
      <c r="E118" s="9" t="inlineStr">
        <is>
          <t>32b</t>
        </is>
      </c>
      <c r="F118" s="10" t="inlineStr">
        <is>
          <t>UAV2 Master Control. Enable, arm, flight mode.</t>
        </is>
      </c>
      <c r="G118" s="9" t="inlineStr">
        <is>
          <t>9</t>
        </is>
      </c>
    </row>
    <row r="119" ht="46" customHeight="1">
      <c r="A119" s="22" t="inlineStr">
        <is>
          <t>0x4004</t>
        </is>
      </c>
      <c r="B119" s="11" t="inlineStr">
        <is>
          <t>UAV_STATUS</t>
        </is>
      </c>
      <c r="C119" s="12" t="inlineStr">
        <is>
          <t>RO</t>
        </is>
      </c>
      <c r="D119" s="13" t="inlineStr">
        <is>
          <t>0x00000000</t>
        </is>
      </c>
      <c r="E119" s="14" t="inlineStr">
        <is>
          <t>32b</t>
        </is>
      </c>
      <c r="F119" s="15" t="inlineStr">
        <is>
          <t>UAV2 Status. FSM state, sensor health, CA flags.</t>
        </is>
      </c>
      <c r="G119" s="14" t="inlineStr">
        <is>
          <t>14</t>
        </is>
      </c>
    </row>
    <row r="120" ht="46" customHeight="1">
      <c r="A120" s="22" t="inlineStr">
        <is>
          <t>0x4008</t>
        </is>
      </c>
      <c r="B120" s="6" t="inlineStr">
        <is>
          <t>EKF9_Q_POS</t>
        </is>
      </c>
      <c r="C120" s="7" t="inlineStr">
        <is>
          <t>RW</t>
        </is>
      </c>
      <c r="D120" s="8" t="inlineStr">
        <is>
          <t>0x02A3D70A</t>
        </is>
      </c>
      <c r="E120" s="9" t="inlineStr">
        <is>
          <t>32b</t>
        </is>
      </c>
      <c r="F120" s="10" t="inlineStr">
        <is>
          <t>9-state EKF position process noise. Q10.22. Default 0.25 m² (σ=0.5 m).</t>
        </is>
      </c>
      <c r="G120" s="9" t="inlineStr">
        <is>
          <t>1</t>
        </is>
      </c>
    </row>
    <row r="121" ht="46" customHeight="1">
      <c r="A121" s="22" t="inlineStr">
        <is>
          <t>0x400C</t>
        </is>
      </c>
      <c r="B121" s="6" t="inlineStr">
        <is>
          <t>EKF9_Q_VEL</t>
        </is>
      </c>
      <c r="C121" s="7" t="inlineStr">
        <is>
          <t>RW</t>
        </is>
      </c>
      <c r="D121" s="8" t="inlineStr">
        <is>
          <t>0x00418937</t>
        </is>
      </c>
      <c r="E121" s="9" t="inlineStr">
        <is>
          <t>32b</t>
        </is>
      </c>
      <c r="F121" s="10" t="inlineStr">
        <is>
          <t>9-state EKF velocity process noise. Q4.28. Default 0.0025 (m/s)².</t>
        </is>
      </c>
      <c r="G121" s="9" t="inlineStr">
        <is>
          <t>1</t>
        </is>
      </c>
    </row>
    <row r="122" ht="46" customHeight="1">
      <c r="A122" s="22" t="inlineStr">
        <is>
          <t>0x4010</t>
        </is>
      </c>
      <c r="B122" s="6" t="inlineStr">
        <is>
          <t>EKF9_Q_ANG</t>
        </is>
      </c>
      <c r="C122" s="7" t="inlineStr">
        <is>
          <t>RW</t>
        </is>
      </c>
      <c r="D122" s="8" t="inlineStr">
        <is>
          <t>0x000010C7</t>
        </is>
      </c>
      <c r="E122" s="9" t="inlineStr">
        <is>
          <t>32b</t>
        </is>
      </c>
      <c r="F122" s="10" t="inlineStr">
        <is>
          <t>9-state EKF angle process noise. Q3.29. Default 0.001 rad².</t>
        </is>
      </c>
      <c r="G122" s="9" t="inlineStr">
        <is>
          <t>1</t>
        </is>
      </c>
    </row>
    <row r="123" ht="46" customHeight="1">
      <c r="A123" s="22" t="inlineStr">
        <is>
          <t>0x4014</t>
        </is>
      </c>
      <c r="B123" s="6" t="inlineStr">
        <is>
          <t>EKF9_R_GPS_P</t>
        </is>
      </c>
      <c r="C123" s="7" t="inlineStr">
        <is>
          <t>RW</t>
        </is>
      </c>
      <c r="D123" s="8" t="inlineStr">
        <is>
          <t>0x02400000</t>
        </is>
      </c>
      <c r="E123" s="9" t="inlineStr">
        <is>
          <t>32b</t>
        </is>
      </c>
      <c r="F123" s="10" t="inlineStr">
        <is>
          <t>GPS position measurement noise. Q10.22. Default 9.0 m² (σ=3 m).</t>
        </is>
      </c>
      <c r="G123" s="9" t="inlineStr">
        <is>
          <t>1</t>
        </is>
      </c>
    </row>
    <row r="124" ht="46" customHeight="1">
      <c r="A124" s="22" t="inlineStr">
        <is>
          <t>0x4018</t>
        </is>
      </c>
      <c r="B124" s="6" t="inlineStr">
        <is>
          <t>EKF9_R_GPS_V</t>
        </is>
      </c>
      <c r="C124" s="7" t="inlineStr">
        <is>
          <t>RW</t>
        </is>
      </c>
      <c r="D124" s="8" t="inlineStr">
        <is>
          <t>0x00028F5C</t>
        </is>
      </c>
      <c r="E124" s="9" t="inlineStr">
        <is>
          <t>32b</t>
        </is>
      </c>
      <c r="F124" s="10" t="inlineStr">
        <is>
          <t>GPS velocity measurement noise. Q4.28. Default 0.01 (m/s)².</t>
        </is>
      </c>
      <c r="G124" s="9" t="inlineStr">
        <is>
          <t>1</t>
        </is>
      </c>
    </row>
    <row r="125" ht="46" customHeight="1">
      <c r="A125" s="22" t="inlineStr">
        <is>
          <t>0x401C</t>
        </is>
      </c>
      <c r="B125" s="6" t="inlineStr">
        <is>
          <t>EKF9_R_BARO</t>
        </is>
      </c>
      <c r="C125" s="7" t="inlineStr">
        <is>
          <t>RW</t>
        </is>
      </c>
      <c r="D125" s="8" t="inlineStr">
        <is>
          <t>0x00100000</t>
        </is>
      </c>
      <c r="E125" s="9" t="inlineStr">
        <is>
          <t>32b</t>
        </is>
      </c>
      <c r="F125" s="10" t="inlineStr">
        <is>
          <t>Barometer altitude noise. Q10.22. Default 0.25 m² (σ=0.5 m).</t>
        </is>
      </c>
      <c r="G125" s="9" t="inlineStr">
        <is>
          <t>1</t>
        </is>
      </c>
    </row>
    <row r="126" ht="46" customHeight="1">
      <c r="A126" s="22" t="inlineStr">
        <is>
          <t>0x4020</t>
        </is>
      </c>
      <c r="B126" s="6" t="inlineStr">
        <is>
          <t>EKF9_GPS_GATE</t>
        </is>
      </c>
      <c r="C126" s="7" t="inlineStr">
        <is>
          <t>RW</t>
        </is>
      </c>
      <c r="D126" s="8" t="inlineStr">
        <is>
          <t>0x00000005</t>
        </is>
      </c>
      <c r="E126" s="9" t="inlineStr">
        <is>
          <t>32b</t>
        </is>
      </c>
      <c r="F126" s="10" t="inlineStr">
        <is>
          <t>GPS innovation rejection gate (sigma multiple).</t>
        </is>
      </c>
      <c r="G126" s="9" t="inlineStr">
        <is>
          <t>2</t>
        </is>
      </c>
    </row>
    <row r="127" ht="46" customHeight="1">
      <c r="A127" s="22" t="inlineStr">
        <is>
          <t>0x4024</t>
        </is>
      </c>
      <c r="B127" s="6" t="inlineStr">
        <is>
          <t>PID_RATE_KP</t>
        </is>
      </c>
      <c r="C127" s="7" t="inlineStr">
        <is>
          <t>RW</t>
        </is>
      </c>
      <c r="D127" s="8" t="inlineStr">
        <is>
          <t>0x00001800</t>
        </is>
      </c>
      <c r="E127" s="9" t="inlineStr">
        <is>
          <t>32b</t>
        </is>
      </c>
      <c r="F127" s="10" t="inlineStr">
        <is>
          <t>Roll/pitch/yaw rate PID Kp. Q4.12. Same for all three axes (override per-axis via 0x28-0x3C).</t>
        </is>
      </c>
      <c r="G127" s="9" t="inlineStr">
        <is>
          <t>2</t>
        </is>
      </c>
    </row>
    <row r="128" ht="46" customHeight="1">
      <c r="A128" s="22" t="inlineStr">
        <is>
          <t>0x4028</t>
        </is>
      </c>
      <c r="B128" s="6" t="inlineStr">
        <is>
          <t>PID_ROLL_KP</t>
        </is>
      </c>
      <c r="C128" s="7" t="inlineStr">
        <is>
          <t>RW</t>
        </is>
      </c>
      <c r="D128" s="8" t="inlineStr">
        <is>
          <t>0x00001800</t>
        </is>
      </c>
      <c r="E128" s="9" t="inlineStr">
        <is>
          <t>32b</t>
        </is>
      </c>
      <c r="F128" s="10" t="inlineStr">
        <is>
          <t>Roll rate Kp override. Q4.12. Overrides global KP_RATE for roll axis.</t>
        </is>
      </c>
      <c r="G128" s="9" t="inlineStr">
        <is>
          <t>2</t>
        </is>
      </c>
    </row>
    <row r="129" ht="46" customHeight="1">
      <c r="A129" s="22" t="inlineStr">
        <is>
          <t>0x402C</t>
        </is>
      </c>
      <c r="B129" s="6" t="inlineStr">
        <is>
          <t>PID_ROLL_KI</t>
        </is>
      </c>
      <c r="C129" s="7" t="inlineStr">
        <is>
          <t>RW</t>
        </is>
      </c>
      <c r="D129" s="8" t="inlineStr">
        <is>
          <t>0x00000200</t>
        </is>
      </c>
      <c r="E129" s="9" t="inlineStr">
        <is>
          <t>32b</t>
        </is>
      </c>
      <c r="F129" s="10" t="inlineStr">
        <is>
          <t>Roll rate Ki. Q4.12. Default 0.125.</t>
        </is>
      </c>
      <c r="G129" s="9" t="inlineStr">
        <is>
          <t>2</t>
        </is>
      </c>
    </row>
    <row r="130" ht="46" customHeight="1">
      <c r="A130" s="22" t="inlineStr">
        <is>
          <t>0x4030</t>
        </is>
      </c>
      <c r="B130" s="6" t="inlineStr">
        <is>
          <t>PID_ROLL_KD</t>
        </is>
      </c>
      <c r="C130" s="7" t="inlineStr">
        <is>
          <t>RW</t>
        </is>
      </c>
      <c r="D130" s="8" t="inlineStr">
        <is>
          <t>0x00000800</t>
        </is>
      </c>
      <c r="E130" s="9" t="inlineStr">
        <is>
          <t>32b</t>
        </is>
      </c>
      <c r="F130" s="10" t="inlineStr">
        <is>
          <t>Roll rate Kd. Q4.12. Default 0.5.</t>
        </is>
      </c>
      <c r="G130" s="9" t="inlineStr">
        <is>
          <t>2</t>
        </is>
      </c>
    </row>
    <row r="131" ht="46" customHeight="1">
      <c r="A131" s="22" t="inlineStr">
        <is>
          <t>0x4034</t>
        </is>
      </c>
      <c r="B131" s="6" t="inlineStr">
        <is>
          <t>PID_PITCH_KP</t>
        </is>
      </c>
      <c r="C131" s="7" t="inlineStr">
        <is>
          <t>RW</t>
        </is>
      </c>
      <c r="D131" s="8" t="inlineStr">
        <is>
          <t>0x00001800</t>
        </is>
      </c>
      <c r="E131" s="9" t="inlineStr">
        <is>
          <t>32b</t>
        </is>
      </c>
      <c r="F131" s="10" t="inlineStr">
        <is>
          <t>Pitch rate Kp. Q4.12.</t>
        </is>
      </c>
      <c r="G131" s="9" t="inlineStr">
        <is>
          <t>2</t>
        </is>
      </c>
    </row>
    <row r="132" ht="46" customHeight="1">
      <c r="A132" s="22" t="inlineStr">
        <is>
          <t>0x4038</t>
        </is>
      </c>
      <c r="B132" s="6" t="inlineStr">
        <is>
          <t>PID_PITCH_KI</t>
        </is>
      </c>
      <c r="C132" s="7" t="inlineStr">
        <is>
          <t>RW</t>
        </is>
      </c>
      <c r="D132" s="8" t="inlineStr">
        <is>
          <t>0x00000200</t>
        </is>
      </c>
      <c r="E132" s="9" t="inlineStr">
        <is>
          <t>32b</t>
        </is>
      </c>
      <c r="F132" s="10" t="inlineStr">
        <is>
          <t>Pitch rate Ki. Q4.12.</t>
        </is>
      </c>
      <c r="G132" s="9" t="inlineStr">
        <is>
          <t>2</t>
        </is>
      </c>
    </row>
    <row r="133" ht="46" customHeight="1">
      <c r="A133" s="22" t="inlineStr">
        <is>
          <t>0x403C</t>
        </is>
      </c>
      <c r="B133" s="6" t="inlineStr">
        <is>
          <t>PID_PITCH_KD</t>
        </is>
      </c>
      <c r="C133" s="7" t="inlineStr">
        <is>
          <t>RW</t>
        </is>
      </c>
      <c r="D133" s="8" t="inlineStr">
        <is>
          <t>0x00000800</t>
        </is>
      </c>
      <c r="E133" s="9" t="inlineStr">
        <is>
          <t>32b</t>
        </is>
      </c>
      <c r="F133" s="10" t="inlineStr">
        <is>
          <t>Pitch rate Kd. Q4.12.</t>
        </is>
      </c>
      <c r="G133" s="9" t="inlineStr">
        <is>
          <t>2</t>
        </is>
      </c>
    </row>
    <row r="134" ht="46" customHeight="1">
      <c r="A134" s="22" t="inlineStr">
        <is>
          <t>0x4040</t>
        </is>
      </c>
      <c r="B134" s="6" t="inlineStr">
        <is>
          <t>PID_YAW_KP</t>
        </is>
      </c>
      <c r="C134" s="7" t="inlineStr">
        <is>
          <t>RW</t>
        </is>
      </c>
      <c r="D134" s="8" t="inlineStr">
        <is>
          <t>0x00001000</t>
        </is>
      </c>
      <c r="E134" s="9" t="inlineStr">
        <is>
          <t>32b</t>
        </is>
      </c>
      <c r="F134" s="10" t="inlineStr">
        <is>
          <t>Yaw rate Kp. Q4.12. Default 1.0.</t>
        </is>
      </c>
      <c r="G134" s="9" t="inlineStr">
        <is>
          <t>2</t>
        </is>
      </c>
    </row>
    <row r="135" ht="46" customHeight="1">
      <c r="A135" s="22" t="inlineStr">
        <is>
          <t>0x4044</t>
        </is>
      </c>
      <c r="B135" s="6" t="inlineStr">
        <is>
          <t>PID_YAW_KI</t>
        </is>
      </c>
      <c r="C135" s="7" t="inlineStr">
        <is>
          <t>RW</t>
        </is>
      </c>
      <c r="D135" s="8" t="inlineStr">
        <is>
          <t>0x00000100</t>
        </is>
      </c>
      <c r="E135" s="9" t="inlineStr">
        <is>
          <t>32b</t>
        </is>
      </c>
      <c r="F135" s="10" t="inlineStr">
        <is>
          <t>Yaw rate Ki. Q4.12.</t>
        </is>
      </c>
      <c r="G135" s="9" t="inlineStr">
        <is>
          <t>2</t>
        </is>
      </c>
    </row>
    <row r="136" ht="46" customHeight="1">
      <c r="A136" s="22" t="inlineStr">
        <is>
          <t>0x4048</t>
        </is>
      </c>
      <c r="B136" s="6" t="inlineStr">
        <is>
          <t>PID_YAW_KD</t>
        </is>
      </c>
      <c r="C136" s="7" t="inlineStr">
        <is>
          <t>RW</t>
        </is>
      </c>
      <c r="D136" s="8" t="inlineStr">
        <is>
          <t>0x00000400</t>
        </is>
      </c>
      <c r="E136" s="9" t="inlineStr">
        <is>
          <t>32b</t>
        </is>
      </c>
      <c r="F136" s="10" t="inlineStr">
        <is>
          <t>Yaw rate Kd. Q4.12.</t>
        </is>
      </c>
      <c r="G136" s="9" t="inlineStr">
        <is>
          <t>2</t>
        </is>
      </c>
    </row>
    <row r="137" ht="46" customHeight="1">
      <c r="A137" s="22" t="inlineStr">
        <is>
          <t>0x404C</t>
        </is>
      </c>
      <c r="B137" s="6" t="inlineStr">
        <is>
          <t>PID_ALT_KP</t>
        </is>
      </c>
      <c r="C137" s="7" t="inlineStr">
        <is>
          <t>RW</t>
        </is>
      </c>
      <c r="D137" s="8" t="inlineStr">
        <is>
          <t>0x00001000</t>
        </is>
      </c>
      <c r="E137" s="9" t="inlineStr">
        <is>
          <t>32b</t>
        </is>
      </c>
      <c r="F137" s="10" t="inlineStr">
        <is>
          <t>Altitude hold outer-loop Kp. Q4.12.</t>
        </is>
      </c>
      <c r="G137" s="9" t="inlineStr">
        <is>
          <t>2</t>
        </is>
      </c>
    </row>
    <row r="138" ht="46" customHeight="1">
      <c r="A138" s="22" t="inlineStr">
        <is>
          <t>0x4050</t>
        </is>
      </c>
      <c r="B138" s="6" t="inlineStr">
        <is>
          <t>PID_ALT_KI</t>
        </is>
      </c>
      <c r="C138" s="7" t="inlineStr">
        <is>
          <t>RW</t>
        </is>
      </c>
      <c r="D138" s="8" t="inlineStr">
        <is>
          <t>0x00000080</t>
        </is>
      </c>
      <c r="E138" s="9" t="inlineStr">
        <is>
          <t>32b</t>
        </is>
      </c>
      <c r="F138" s="10" t="inlineStr">
        <is>
          <t>Altitude hold outer-loop Ki. Q4.12.</t>
        </is>
      </c>
      <c r="G138" s="9" t="inlineStr">
        <is>
          <t>2</t>
        </is>
      </c>
    </row>
    <row r="139" ht="46" customHeight="1">
      <c r="A139" s="22" t="inlineStr">
        <is>
          <t>0x4054</t>
        </is>
      </c>
      <c r="B139" s="6" t="inlineStr">
        <is>
          <t>PID_ALT_KD</t>
        </is>
      </c>
      <c r="C139" s="7" t="inlineStr">
        <is>
          <t>RW</t>
        </is>
      </c>
      <c r="D139" s="8" t="inlineStr">
        <is>
          <t>0x00000200</t>
        </is>
      </c>
      <c r="E139" s="9" t="inlineStr">
        <is>
          <t>32b</t>
        </is>
      </c>
      <c r="F139" s="10" t="inlineStr">
        <is>
          <t>Altitude hold outer-loop Kd. Q4.12.</t>
        </is>
      </c>
      <c r="G139" s="9" t="inlineStr">
        <is>
          <t>2</t>
        </is>
      </c>
    </row>
    <row r="140" ht="46" customHeight="1">
      <c r="A140" s="22" t="inlineStr">
        <is>
          <t>0x4058</t>
        </is>
      </c>
      <c r="B140" s="6" t="inlineStr">
        <is>
          <t>PID_VEL_KP</t>
        </is>
      </c>
      <c r="C140" s="7" t="inlineStr">
        <is>
          <t>RW</t>
        </is>
      </c>
      <c r="D140" s="8" t="inlineStr">
        <is>
          <t>0x00002000</t>
        </is>
      </c>
      <c r="E140" s="9" t="inlineStr">
        <is>
          <t>32b</t>
        </is>
      </c>
      <c r="F140" s="10" t="inlineStr">
        <is>
          <t>Horizontal velocity Kp. Q4.12. Default 2.0.</t>
        </is>
      </c>
      <c r="G140" s="9" t="inlineStr">
        <is>
          <t>2</t>
        </is>
      </c>
    </row>
    <row r="141" ht="46" customHeight="1">
      <c r="A141" s="22" t="inlineStr">
        <is>
          <t>0x405C</t>
        </is>
      </c>
      <c r="B141" s="6" t="inlineStr">
        <is>
          <t>PID_VEL_KI</t>
        </is>
      </c>
      <c r="C141" s="7" t="inlineStr">
        <is>
          <t>RW</t>
        </is>
      </c>
      <c r="D141" s="8" t="inlineStr">
        <is>
          <t>0x00000100</t>
        </is>
      </c>
      <c r="E141" s="9" t="inlineStr">
        <is>
          <t>32b</t>
        </is>
      </c>
      <c r="F141" s="10" t="inlineStr">
        <is>
          <t>Horizontal velocity Ki. Q4.12.</t>
        </is>
      </c>
      <c r="G141" s="9" t="inlineStr">
        <is>
          <t>2</t>
        </is>
      </c>
    </row>
    <row r="142" ht="46" customHeight="1">
      <c r="A142" s="22" t="inlineStr">
        <is>
          <t>0x4060</t>
        </is>
      </c>
      <c r="B142" s="6" t="inlineStr">
        <is>
          <t>NAV_FENCE_R</t>
        </is>
      </c>
      <c r="C142" s="7" t="inlineStr">
        <is>
          <t>RW</t>
        </is>
      </c>
      <c r="D142" s="8" t="inlineStr">
        <is>
          <t>0x000001F4</t>
        </is>
      </c>
      <c r="E142" s="9" t="inlineStr">
        <is>
          <t>32b</t>
        </is>
      </c>
      <c r="F142" s="10" t="inlineStr">
        <is>
          <t>Geofence cylinder radius metres.</t>
        </is>
      </c>
      <c r="G142" s="9" t="inlineStr">
        <is>
          <t>2</t>
        </is>
      </c>
    </row>
    <row r="143" ht="46" customHeight="1">
      <c r="A143" s="22" t="inlineStr">
        <is>
          <t>0x4064</t>
        </is>
      </c>
      <c r="B143" s="6" t="inlineStr">
        <is>
          <t>NAV_FENCE_ALT</t>
        </is>
      </c>
      <c r="C143" s="7" t="inlineStr">
        <is>
          <t>RW</t>
        </is>
      </c>
      <c r="D143" s="8" t="inlineStr">
        <is>
          <t>0x000000C8</t>
        </is>
      </c>
      <c r="E143" s="9" t="inlineStr">
        <is>
          <t>32b</t>
        </is>
      </c>
      <c r="F143" s="10" t="inlineStr">
        <is>
          <t>Geofence max altitude AGL metres.</t>
        </is>
      </c>
      <c r="G143" s="9" t="inlineStr">
        <is>
          <t>2</t>
        </is>
      </c>
    </row>
    <row r="144" ht="46" customHeight="1">
      <c r="A144" s="22" t="inlineStr">
        <is>
          <t>0x4068</t>
        </is>
      </c>
      <c r="B144" s="6" t="inlineStr">
        <is>
          <t>NAV_TKOFF_ALT</t>
        </is>
      </c>
      <c r="C144" s="7" t="inlineStr">
        <is>
          <t>RW</t>
        </is>
      </c>
      <c r="D144" s="8" t="inlineStr">
        <is>
          <t>0x0000000A</t>
        </is>
      </c>
      <c r="E144" s="9" t="inlineStr">
        <is>
          <t>32b</t>
        </is>
      </c>
      <c r="F144" s="10" t="inlineStr">
        <is>
          <t>Auto-takeoff target altitude AGL metres.</t>
        </is>
      </c>
      <c r="G144" s="9" t="inlineStr">
        <is>
          <t>2</t>
        </is>
      </c>
    </row>
    <row r="145" ht="46" customHeight="1">
      <c r="A145" s="22" t="inlineStr">
        <is>
          <t>0x406C</t>
        </is>
      </c>
      <c r="B145" s="6" t="inlineStr">
        <is>
          <t>NAV_WP_RADIUS</t>
        </is>
      </c>
      <c r="C145" s="7" t="inlineStr">
        <is>
          <t>RW</t>
        </is>
      </c>
      <c r="D145" s="8" t="inlineStr">
        <is>
          <t>0x00000002</t>
        </is>
      </c>
      <c r="E145" s="9" t="inlineStr">
        <is>
          <t>32b</t>
        </is>
      </c>
      <c r="F145" s="10" t="inlineStr">
        <is>
          <t>Waypoint capture radius metres.</t>
        </is>
      </c>
      <c r="G145" s="9" t="inlineStr">
        <is>
          <t>2</t>
        </is>
      </c>
    </row>
    <row r="146" ht="46" customHeight="1">
      <c r="A146" s="22" t="inlineStr">
        <is>
          <t>0x4070</t>
        </is>
      </c>
      <c r="B146" s="6" t="inlineStr">
        <is>
          <t>NAV_RTL_ALT</t>
        </is>
      </c>
      <c r="C146" s="7" t="inlineStr">
        <is>
          <t>RW</t>
        </is>
      </c>
      <c r="D146" s="8" t="inlineStr">
        <is>
          <t>0x00000032</t>
        </is>
      </c>
      <c r="E146" s="9" t="inlineStr">
        <is>
          <t>32b</t>
        </is>
      </c>
      <c r="F146" s="10" t="inlineStr">
        <is>
          <t>RTL altitude AGL metres.</t>
        </is>
      </c>
      <c r="G146" s="9" t="inlineStr">
        <is>
          <t>2</t>
        </is>
      </c>
    </row>
    <row r="147" ht="46" customHeight="1">
      <c r="A147" s="22" t="inlineStr">
        <is>
          <t>0x4074</t>
        </is>
      </c>
      <c r="B147" s="6" t="inlineStr">
        <is>
          <t>MAV_SYSID</t>
        </is>
      </c>
      <c r="C147" s="7" t="inlineStr">
        <is>
          <t>RW</t>
        </is>
      </c>
      <c r="D147" s="8" t="inlineStr">
        <is>
          <t>0x00000101</t>
        </is>
      </c>
      <c r="E147" s="9" t="inlineStr">
        <is>
          <t>32b</t>
        </is>
      </c>
      <c r="F147" s="10" t="inlineStr">
        <is>
          <t>MAVLink SYSID / COMPID.</t>
        </is>
      </c>
      <c r="G147" s="9" t="inlineStr">
        <is>
          <t>3</t>
        </is>
      </c>
    </row>
    <row r="148" ht="46" customHeight="1">
      <c r="A148" s="22" t="inlineStr">
        <is>
          <t>0x4078</t>
        </is>
      </c>
      <c r="B148" s="6" t="inlineStr">
        <is>
          <t>MOTOR_PWM_MIN</t>
        </is>
      </c>
      <c r="C148" s="7" t="inlineStr">
        <is>
          <t>RW</t>
        </is>
      </c>
      <c r="D148" s="8" t="inlineStr">
        <is>
          <t>0x000003E8</t>
        </is>
      </c>
      <c r="E148" s="9" t="inlineStr">
        <is>
          <t>32b</t>
        </is>
      </c>
      <c r="F148" s="10" t="inlineStr">
        <is>
          <t>ESC minimum PWM microseconds (armed idle).</t>
        </is>
      </c>
      <c r="G148" s="9" t="inlineStr">
        <is>
          <t>2</t>
        </is>
      </c>
    </row>
    <row r="149" ht="46" customHeight="1">
      <c r="A149" s="22" t="inlineStr">
        <is>
          <t>0x407C</t>
        </is>
      </c>
      <c r="B149" s="6" t="inlineStr">
        <is>
          <t>MOTOR_PWM_MAX</t>
        </is>
      </c>
      <c r="C149" s="7" t="inlineStr">
        <is>
          <t>RW</t>
        </is>
      </c>
      <c r="D149" s="8" t="inlineStr">
        <is>
          <t>0x000007D0</t>
        </is>
      </c>
      <c r="E149" s="9" t="inlineStr">
        <is>
          <t>32b</t>
        </is>
      </c>
      <c r="F149" s="10" t="inlineStr">
        <is>
          <t>ESC maximum PWM microseconds (full throttle).</t>
        </is>
      </c>
      <c r="G149" s="9" t="inlineStr">
        <is>
          <t>2</t>
        </is>
      </c>
    </row>
    <row r="150" ht="46" customHeight="1">
      <c r="A150" s="22" t="inlineStr">
        <is>
          <t>0x4080</t>
        </is>
      </c>
      <c r="B150" s="6" t="inlineStr">
        <is>
          <t>MOTOR_FREQ</t>
        </is>
      </c>
      <c r="C150" s="7" t="inlineStr">
        <is>
          <t>RW</t>
        </is>
      </c>
      <c r="D150" s="8" t="inlineStr">
        <is>
          <t>0x00000190</t>
        </is>
      </c>
      <c r="E150" s="9" t="inlineStr">
        <is>
          <t>32b</t>
        </is>
      </c>
      <c r="F150" s="10" t="inlineStr">
        <is>
          <t>ESC PWM carrier frequency Hz (50–400).</t>
        </is>
      </c>
      <c r="G150" s="9" t="inlineStr">
        <is>
          <t>2</t>
        </is>
      </c>
    </row>
    <row r="151" ht="46" customHeight="1">
      <c r="A151" s="22" t="inlineStr">
        <is>
          <t>0x4084</t>
        </is>
      </c>
      <c r="B151" s="11" t="inlineStr">
        <is>
          <t>DBG_GPS_CNT</t>
        </is>
      </c>
      <c r="C151" s="12" t="inlineStr">
        <is>
          <t>RO</t>
        </is>
      </c>
      <c r="D151" s="13" t="inlineStr">
        <is>
          <t>0x00000000</t>
        </is>
      </c>
      <c r="E151" s="14" t="inlineStr">
        <is>
          <t>32b</t>
        </is>
      </c>
      <c r="F151" s="15" t="inlineStr">
        <is>
          <t>GPS valid-fix frame counter (10 Hz).</t>
        </is>
      </c>
      <c r="G151" s="14" t="inlineStr">
        <is>
          <t>1</t>
        </is>
      </c>
    </row>
    <row r="152" ht="46" customHeight="1">
      <c r="A152" s="22" t="inlineStr">
        <is>
          <t>0x4088</t>
        </is>
      </c>
      <c r="B152" s="11" t="inlineStr">
        <is>
          <t>DBG_PID_CNT</t>
        </is>
      </c>
      <c r="C152" s="12" t="inlineStr">
        <is>
          <t>RO</t>
        </is>
      </c>
      <c r="D152" s="13" t="inlineStr">
        <is>
          <t>0x00000000</t>
        </is>
      </c>
      <c r="E152" s="14" t="inlineStr">
        <is>
          <t>32b</t>
        </is>
      </c>
      <c r="F152" s="15" t="inlineStr">
        <is>
          <t>PID inner-loop compute counter (1 kHz).</t>
        </is>
      </c>
      <c r="G152" s="14" t="inlineStr">
        <is>
          <t>1</t>
        </is>
      </c>
    </row>
    <row r="153" ht="46" customHeight="1">
      <c r="A153" s="22" t="inlineStr">
        <is>
          <t>0x408C</t>
        </is>
      </c>
      <c r="B153" s="11" t="inlineStr">
        <is>
          <t>DBG_CA_EVTS</t>
        </is>
      </c>
      <c r="C153" s="12" t="inlineStr">
        <is>
          <t>RO</t>
        </is>
      </c>
      <c r="D153" s="13" t="inlineStr">
        <is>
          <t>0x00000000</t>
        </is>
      </c>
      <c r="E153" s="14" t="inlineStr">
        <is>
          <t>32b</t>
        </is>
      </c>
      <c r="F153" s="15" t="inlineStr">
        <is>
          <t>CA event counters.</t>
        </is>
      </c>
      <c r="G153" s="14" t="inlineStr">
        <is>
          <t>2</t>
        </is>
      </c>
    </row>
    <row r="154" ht="46" customHeight="1">
      <c r="A154" s="22" t="inlineStr">
        <is>
          <t>0x4090</t>
        </is>
      </c>
      <c r="B154" s="16" t="inlineStr">
        <is>
          <t>DBG_FAULT_LOG</t>
        </is>
      </c>
      <c r="C154" s="17" t="inlineStr">
        <is>
          <t>W1C</t>
        </is>
      </c>
      <c r="D154" s="18" t="inlineStr">
        <is>
          <t>0x00000000</t>
        </is>
      </c>
      <c r="E154" s="19" t="inlineStr">
        <is>
          <t>32b</t>
        </is>
      </c>
      <c r="F154" s="20" t="inlineStr">
        <is>
          <t>UAV latched fault log. Write 1 to clear individual bits.</t>
        </is>
      </c>
      <c r="G154" s="19" t="inlineStr">
        <is>
          <t>9</t>
        </is>
      </c>
    </row>
    <row r="155" ht="22" customHeight="1">
      <c r="A155" s="21" t="inlineStr">
        <is>
          <t>▶  UAV 3   (0x5000 – 0x5FFF)</t>
        </is>
      </c>
    </row>
    <row r="156" ht="46" customHeight="1">
      <c r="A156" s="22" t="inlineStr">
        <is>
          <t>0x5000</t>
        </is>
      </c>
      <c r="B156" s="6" t="inlineStr">
        <is>
          <t>UAV_CTRL</t>
        </is>
      </c>
      <c r="C156" s="7" t="inlineStr">
        <is>
          <t>RW</t>
        </is>
      </c>
      <c r="D156" s="8" t="inlineStr">
        <is>
          <t>0x00000001</t>
        </is>
      </c>
      <c r="E156" s="9" t="inlineStr">
        <is>
          <t>32b</t>
        </is>
      </c>
      <c r="F156" s="10" t="inlineStr">
        <is>
          <t>UAV3 Master Control. Enable, arm, flight mode.</t>
        </is>
      </c>
      <c r="G156" s="9" t="inlineStr">
        <is>
          <t>9</t>
        </is>
      </c>
    </row>
    <row r="157" ht="46" customHeight="1">
      <c r="A157" s="22" t="inlineStr">
        <is>
          <t>0x5004</t>
        </is>
      </c>
      <c r="B157" s="11" t="inlineStr">
        <is>
          <t>UAV_STATUS</t>
        </is>
      </c>
      <c r="C157" s="12" t="inlineStr">
        <is>
          <t>RO</t>
        </is>
      </c>
      <c r="D157" s="13" t="inlineStr">
        <is>
          <t>0x00000000</t>
        </is>
      </c>
      <c r="E157" s="14" t="inlineStr">
        <is>
          <t>32b</t>
        </is>
      </c>
      <c r="F157" s="15" t="inlineStr">
        <is>
          <t>UAV3 Status. FSM state, sensor health, CA flags.</t>
        </is>
      </c>
      <c r="G157" s="14" t="inlineStr">
        <is>
          <t>14</t>
        </is>
      </c>
    </row>
    <row r="158" ht="46" customHeight="1">
      <c r="A158" s="22" t="inlineStr">
        <is>
          <t>0x5008</t>
        </is>
      </c>
      <c r="B158" s="6" t="inlineStr">
        <is>
          <t>EKF9_Q_POS</t>
        </is>
      </c>
      <c r="C158" s="7" t="inlineStr">
        <is>
          <t>RW</t>
        </is>
      </c>
      <c r="D158" s="8" t="inlineStr">
        <is>
          <t>0x02A3D70A</t>
        </is>
      </c>
      <c r="E158" s="9" t="inlineStr">
        <is>
          <t>32b</t>
        </is>
      </c>
      <c r="F158" s="10" t="inlineStr">
        <is>
          <t>9-state EKF position process noise. Q10.22. Default 0.25 m² (σ=0.5 m).</t>
        </is>
      </c>
      <c r="G158" s="9" t="inlineStr">
        <is>
          <t>1</t>
        </is>
      </c>
    </row>
    <row r="159" ht="46" customHeight="1">
      <c r="A159" s="22" t="inlineStr">
        <is>
          <t>0x500C</t>
        </is>
      </c>
      <c r="B159" s="6" t="inlineStr">
        <is>
          <t>EKF9_Q_VEL</t>
        </is>
      </c>
      <c r="C159" s="7" t="inlineStr">
        <is>
          <t>RW</t>
        </is>
      </c>
      <c r="D159" s="8" t="inlineStr">
        <is>
          <t>0x00418937</t>
        </is>
      </c>
      <c r="E159" s="9" t="inlineStr">
        <is>
          <t>32b</t>
        </is>
      </c>
      <c r="F159" s="10" t="inlineStr">
        <is>
          <t>9-state EKF velocity process noise. Q4.28. Default 0.0025 (m/s)².</t>
        </is>
      </c>
      <c r="G159" s="9" t="inlineStr">
        <is>
          <t>1</t>
        </is>
      </c>
    </row>
    <row r="160" ht="46" customHeight="1">
      <c r="A160" s="22" t="inlineStr">
        <is>
          <t>0x5010</t>
        </is>
      </c>
      <c r="B160" s="6" t="inlineStr">
        <is>
          <t>EKF9_Q_ANG</t>
        </is>
      </c>
      <c r="C160" s="7" t="inlineStr">
        <is>
          <t>RW</t>
        </is>
      </c>
      <c r="D160" s="8" t="inlineStr">
        <is>
          <t>0x000010C7</t>
        </is>
      </c>
      <c r="E160" s="9" t="inlineStr">
        <is>
          <t>32b</t>
        </is>
      </c>
      <c r="F160" s="10" t="inlineStr">
        <is>
          <t>9-state EKF angle process noise. Q3.29. Default 0.001 rad².</t>
        </is>
      </c>
      <c r="G160" s="9" t="inlineStr">
        <is>
          <t>1</t>
        </is>
      </c>
    </row>
    <row r="161" ht="46" customHeight="1">
      <c r="A161" s="22" t="inlineStr">
        <is>
          <t>0x5014</t>
        </is>
      </c>
      <c r="B161" s="6" t="inlineStr">
        <is>
          <t>EKF9_R_GPS_P</t>
        </is>
      </c>
      <c r="C161" s="7" t="inlineStr">
        <is>
          <t>RW</t>
        </is>
      </c>
      <c r="D161" s="8" t="inlineStr">
        <is>
          <t>0x02400000</t>
        </is>
      </c>
      <c r="E161" s="9" t="inlineStr">
        <is>
          <t>32b</t>
        </is>
      </c>
      <c r="F161" s="10" t="inlineStr">
        <is>
          <t>GPS position measurement noise. Q10.22. Default 9.0 m² (σ=3 m).</t>
        </is>
      </c>
      <c r="G161" s="9" t="inlineStr">
        <is>
          <t>1</t>
        </is>
      </c>
    </row>
    <row r="162" ht="46" customHeight="1">
      <c r="A162" s="22" t="inlineStr">
        <is>
          <t>0x5018</t>
        </is>
      </c>
      <c r="B162" s="6" t="inlineStr">
        <is>
          <t>EKF9_R_GPS_V</t>
        </is>
      </c>
      <c r="C162" s="7" t="inlineStr">
        <is>
          <t>RW</t>
        </is>
      </c>
      <c r="D162" s="8" t="inlineStr">
        <is>
          <t>0x00028F5C</t>
        </is>
      </c>
      <c r="E162" s="9" t="inlineStr">
        <is>
          <t>32b</t>
        </is>
      </c>
      <c r="F162" s="10" t="inlineStr">
        <is>
          <t>GPS velocity measurement noise. Q4.28. Default 0.01 (m/s)².</t>
        </is>
      </c>
      <c r="G162" s="9" t="inlineStr">
        <is>
          <t>1</t>
        </is>
      </c>
    </row>
    <row r="163" ht="46" customHeight="1">
      <c r="A163" s="22" t="inlineStr">
        <is>
          <t>0x501C</t>
        </is>
      </c>
      <c r="B163" s="6" t="inlineStr">
        <is>
          <t>EKF9_R_BARO</t>
        </is>
      </c>
      <c r="C163" s="7" t="inlineStr">
        <is>
          <t>RW</t>
        </is>
      </c>
      <c r="D163" s="8" t="inlineStr">
        <is>
          <t>0x00100000</t>
        </is>
      </c>
      <c r="E163" s="9" t="inlineStr">
        <is>
          <t>32b</t>
        </is>
      </c>
      <c r="F163" s="10" t="inlineStr">
        <is>
          <t>Barometer altitude noise. Q10.22. Default 0.25 m² (σ=0.5 m).</t>
        </is>
      </c>
      <c r="G163" s="9" t="inlineStr">
        <is>
          <t>1</t>
        </is>
      </c>
    </row>
    <row r="164" ht="46" customHeight="1">
      <c r="A164" s="22" t="inlineStr">
        <is>
          <t>0x5020</t>
        </is>
      </c>
      <c r="B164" s="6" t="inlineStr">
        <is>
          <t>EKF9_GPS_GATE</t>
        </is>
      </c>
      <c r="C164" s="7" t="inlineStr">
        <is>
          <t>RW</t>
        </is>
      </c>
      <c r="D164" s="8" t="inlineStr">
        <is>
          <t>0x00000005</t>
        </is>
      </c>
      <c r="E164" s="9" t="inlineStr">
        <is>
          <t>32b</t>
        </is>
      </c>
      <c r="F164" s="10" t="inlineStr">
        <is>
          <t>GPS innovation rejection gate (sigma multiple).</t>
        </is>
      </c>
      <c r="G164" s="9" t="inlineStr">
        <is>
          <t>2</t>
        </is>
      </c>
    </row>
    <row r="165" ht="46" customHeight="1">
      <c r="A165" s="22" t="inlineStr">
        <is>
          <t>0x5024</t>
        </is>
      </c>
      <c r="B165" s="6" t="inlineStr">
        <is>
          <t>PID_RATE_KP</t>
        </is>
      </c>
      <c r="C165" s="7" t="inlineStr">
        <is>
          <t>RW</t>
        </is>
      </c>
      <c r="D165" s="8" t="inlineStr">
        <is>
          <t>0x00001800</t>
        </is>
      </c>
      <c r="E165" s="9" t="inlineStr">
        <is>
          <t>32b</t>
        </is>
      </c>
      <c r="F165" s="10" t="inlineStr">
        <is>
          <t>Roll/pitch/yaw rate PID Kp. Q4.12. Same for all three axes (override per-axis via 0x28-0x3C).</t>
        </is>
      </c>
      <c r="G165" s="9" t="inlineStr">
        <is>
          <t>2</t>
        </is>
      </c>
    </row>
    <row r="166" ht="46" customHeight="1">
      <c r="A166" s="22" t="inlineStr">
        <is>
          <t>0x5028</t>
        </is>
      </c>
      <c r="B166" s="6" t="inlineStr">
        <is>
          <t>PID_ROLL_KP</t>
        </is>
      </c>
      <c r="C166" s="7" t="inlineStr">
        <is>
          <t>RW</t>
        </is>
      </c>
      <c r="D166" s="8" t="inlineStr">
        <is>
          <t>0x00001800</t>
        </is>
      </c>
      <c r="E166" s="9" t="inlineStr">
        <is>
          <t>32b</t>
        </is>
      </c>
      <c r="F166" s="10" t="inlineStr">
        <is>
          <t>Roll rate Kp override. Q4.12. Overrides global KP_RATE for roll axis.</t>
        </is>
      </c>
      <c r="G166" s="9" t="inlineStr">
        <is>
          <t>2</t>
        </is>
      </c>
    </row>
    <row r="167" ht="46" customHeight="1">
      <c r="A167" s="22" t="inlineStr">
        <is>
          <t>0x502C</t>
        </is>
      </c>
      <c r="B167" s="6" t="inlineStr">
        <is>
          <t>PID_ROLL_KI</t>
        </is>
      </c>
      <c r="C167" s="7" t="inlineStr">
        <is>
          <t>RW</t>
        </is>
      </c>
      <c r="D167" s="8" t="inlineStr">
        <is>
          <t>0x00000200</t>
        </is>
      </c>
      <c r="E167" s="9" t="inlineStr">
        <is>
          <t>32b</t>
        </is>
      </c>
      <c r="F167" s="10" t="inlineStr">
        <is>
          <t>Roll rate Ki. Q4.12. Default 0.125.</t>
        </is>
      </c>
      <c r="G167" s="9" t="inlineStr">
        <is>
          <t>2</t>
        </is>
      </c>
    </row>
    <row r="168" ht="46" customHeight="1">
      <c r="A168" s="22" t="inlineStr">
        <is>
          <t>0x5030</t>
        </is>
      </c>
      <c r="B168" s="6" t="inlineStr">
        <is>
          <t>PID_ROLL_KD</t>
        </is>
      </c>
      <c r="C168" s="7" t="inlineStr">
        <is>
          <t>RW</t>
        </is>
      </c>
      <c r="D168" s="8" t="inlineStr">
        <is>
          <t>0x00000800</t>
        </is>
      </c>
      <c r="E168" s="9" t="inlineStr">
        <is>
          <t>32b</t>
        </is>
      </c>
      <c r="F168" s="10" t="inlineStr">
        <is>
          <t>Roll rate Kd. Q4.12. Default 0.5.</t>
        </is>
      </c>
      <c r="G168" s="9" t="inlineStr">
        <is>
          <t>2</t>
        </is>
      </c>
    </row>
    <row r="169" ht="46" customHeight="1">
      <c r="A169" s="22" t="inlineStr">
        <is>
          <t>0x5034</t>
        </is>
      </c>
      <c r="B169" s="6" t="inlineStr">
        <is>
          <t>PID_PITCH_KP</t>
        </is>
      </c>
      <c r="C169" s="7" t="inlineStr">
        <is>
          <t>RW</t>
        </is>
      </c>
      <c r="D169" s="8" t="inlineStr">
        <is>
          <t>0x00001800</t>
        </is>
      </c>
      <c r="E169" s="9" t="inlineStr">
        <is>
          <t>32b</t>
        </is>
      </c>
      <c r="F169" s="10" t="inlineStr">
        <is>
          <t>Pitch rate Kp. Q4.12.</t>
        </is>
      </c>
      <c r="G169" s="9" t="inlineStr">
        <is>
          <t>2</t>
        </is>
      </c>
    </row>
    <row r="170" ht="46" customHeight="1">
      <c r="A170" s="22" t="inlineStr">
        <is>
          <t>0x5038</t>
        </is>
      </c>
      <c r="B170" s="6" t="inlineStr">
        <is>
          <t>PID_PITCH_KI</t>
        </is>
      </c>
      <c r="C170" s="7" t="inlineStr">
        <is>
          <t>RW</t>
        </is>
      </c>
      <c r="D170" s="8" t="inlineStr">
        <is>
          <t>0x00000200</t>
        </is>
      </c>
      <c r="E170" s="9" t="inlineStr">
        <is>
          <t>32b</t>
        </is>
      </c>
      <c r="F170" s="10" t="inlineStr">
        <is>
          <t>Pitch rate Ki. Q4.12.</t>
        </is>
      </c>
      <c r="G170" s="9" t="inlineStr">
        <is>
          <t>2</t>
        </is>
      </c>
    </row>
    <row r="171" ht="46" customHeight="1">
      <c r="A171" s="22" t="inlineStr">
        <is>
          <t>0x503C</t>
        </is>
      </c>
      <c r="B171" s="6" t="inlineStr">
        <is>
          <t>PID_PITCH_KD</t>
        </is>
      </c>
      <c r="C171" s="7" t="inlineStr">
        <is>
          <t>RW</t>
        </is>
      </c>
      <c r="D171" s="8" t="inlineStr">
        <is>
          <t>0x00000800</t>
        </is>
      </c>
      <c r="E171" s="9" t="inlineStr">
        <is>
          <t>32b</t>
        </is>
      </c>
      <c r="F171" s="10" t="inlineStr">
        <is>
          <t>Pitch rate Kd. Q4.12.</t>
        </is>
      </c>
      <c r="G171" s="9" t="inlineStr">
        <is>
          <t>2</t>
        </is>
      </c>
    </row>
    <row r="172" ht="46" customHeight="1">
      <c r="A172" s="22" t="inlineStr">
        <is>
          <t>0x5040</t>
        </is>
      </c>
      <c r="B172" s="6" t="inlineStr">
        <is>
          <t>PID_YAW_KP</t>
        </is>
      </c>
      <c r="C172" s="7" t="inlineStr">
        <is>
          <t>RW</t>
        </is>
      </c>
      <c r="D172" s="8" t="inlineStr">
        <is>
          <t>0x00001000</t>
        </is>
      </c>
      <c r="E172" s="9" t="inlineStr">
        <is>
          <t>32b</t>
        </is>
      </c>
      <c r="F172" s="10" t="inlineStr">
        <is>
          <t>Yaw rate Kp. Q4.12. Default 1.0.</t>
        </is>
      </c>
      <c r="G172" s="9" t="inlineStr">
        <is>
          <t>2</t>
        </is>
      </c>
    </row>
    <row r="173" ht="46" customHeight="1">
      <c r="A173" s="22" t="inlineStr">
        <is>
          <t>0x5044</t>
        </is>
      </c>
      <c r="B173" s="6" t="inlineStr">
        <is>
          <t>PID_YAW_KI</t>
        </is>
      </c>
      <c r="C173" s="7" t="inlineStr">
        <is>
          <t>RW</t>
        </is>
      </c>
      <c r="D173" s="8" t="inlineStr">
        <is>
          <t>0x00000100</t>
        </is>
      </c>
      <c r="E173" s="9" t="inlineStr">
        <is>
          <t>32b</t>
        </is>
      </c>
      <c r="F173" s="10" t="inlineStr">
        <is>
          <t>Yaw rate Ki. Q4.12.</t>
        </is>
      </c>
      <c r="G173" s="9" t="inlineStr">
        <is>
          <t>2</t>
        </is>
      </c>
    </row>
    <row r="174" ht="46" customHeight="1">
      <c r="A174" s="22" t="inlineStr">
        <is>
          <t>0x5048</t>
        </is>
      </c>
      <c r="B174" s="6" t="inlineStr">
        <is>
          <t>PID_YAW_KD</t>
        </is>
      </c>
      <c r="C174" s="7" t="inlineStr">
        <is>
          <t>RW</t>
        </is>
      </c>
      <c r="D174" s="8" t="inlineStr">
        <is>
          <t>0x00000400</t>
        </is>
      </c>
      <c r="E174" s="9" t="inlineStr">
        <is>
          <t>32b</t>
        </is>
      </c>
      <c r="F174" s="10" t="inlineStr">
        <is>
          <t>Yaw rate Kd. Q4.12.</t>
        </is>
      </c>
      <c r="G174" s="9" t="inlineStr">
        <is>
          <t>2</t>
        </is>
      </c>
    </row>
    <row r="175" ht="46" customHeight="1">
      <c r="A175" s="22" t="inlineStr">
        <is>
          <t>0x504C</t>
        </is>
      </c>
      <c r="B175" s="6" t="inlineStr">
        <is>
          <t>PID_ALT_KP</t>
        </is>
      </c>
      <c r="C175" s="7" t="inlineStr">
        <is>
          <t>RW</t>
        </is>
      </c>
      <c r="D175" s="8" t="inlineStr">
        <is>
          <t>0x00001000</t>
        </is>
      </c>
      <c r="E175" s="9" t="inlineStr">
        <is>
          <t>32b</t>
        </is>
      </c>
      <c r="F175" s="10" t="inlineStr">
        <is>
          <t>Altitude hold outer-loop Kp. Q4.12.</t>
        </is>
      </c>
      <c r="G175" s="9" t="inlineStr">
        <is>
          <t>2</t>
        </is>
      </c>
    </row>
    <row r="176" ht="46" customHeight="1">
      <c r="A176" s="22" t="inlineStr">
        <is>
          <t>0x5050</t>
        </is>
      </c>
      <c r="B176" s="6" t="inlineStr">
        <is>
          <t>PID_ALT_KI</t>
        </is>
      </c>
      <c r="C176" s="7" t="inlineStr">
        <is>
          <t>RW</t>
        </is>
      </c>
      <c r="D176" s="8" t="inlineStr">
        <is>
          <t>0x00000080</t>
        </is>
      </c>
      <c r="E176" s="9" t="inlineStr">
        <is>
          <t>32b</t>
        </is>
      </c>
      <c r="F176" s="10" t="inlineStr">
        <is>
          <t>Altitude hold outer-loop Ki. Q4.12.</t>
        </is>
      </c>
      <c r="G176" s="9" t="inlineStr">
        <is>
          <t>2</t>
        </is>
      </c>
    </row>
    <row r="177" ht="46" customHeight="1">
      <c r="A177" s="22" t="inlineStr">
        <is>
          <t>0x5054</t>
        </is>
      </c>
      <c r="B177" s="6" t="inlineStr">
        <is>
          <t>PID_ALT_KD</t>
        </is>
      </c>
      <c r="C177" s="7" t="inlineStr">
        <is>
          <t>RW</t>
        </is>
      </c>
      <c r="D177" s="8" t="inlineStr">
        <is>
          <t>0x00000200</t>
        </is>
      </c>
      <c r="E177" s="9" t="inlineStr">
        <is>
          <t>32b</t>
        </is>
      </c>
      <c r="F177" s="10" t="inlineStr">
        <is>
          <t>Altitude hold outer-loop Kd. Q4.12.</t>
        </is>
      </c>
      <c r="G177" s="9" t="inlineStr">
        <is>
          <t>2</t>
        </is>
      </c>
    </row>
    <row r="178" ht="46" customHeight="1">
      <c r="A178" s="22" t="inlineStr">
        <is>
          <t>0x5058</t>
        </is>
      </c>
      <c r="B178" s="6" t="inlineStr">
        <is>
          <t>PID_VEL_KP</t>
        </is>
      </c>
      <c r="C178" s="7" t="inlineStr">
        <is>
          <t>RW</t>
        </is>
      </c>
      <c r="D178" s="8" t="inlineStr">
        <is>
          <t>0x00002000</t>
        </is>
      </c>
      <c r="E178" s="9" t="inlineStr">
        <is>
          <t>32b</t>
        </is>
      </c>
      <c r="F178" s="10" t="inlineStr">
        <is>
          <t>Horizontal velocity Kp. Q4.12. Default 2.0.</t>
        </is>
      </c>
      <c r="G178" s="9" t="inlineStr">
        <is>
          <t>2</t>
        </is>
      </c>
    </row>
    <row r="179" ht="46" customHeight="1">
      <c r="A179" s="22" t="inlineStr">
        <is>
          <t>0x505C</t>
        </is>
      </c>
      <c r="B179" s="6" t="inlineStr">
        <is>
          <t>PID_VEL_KI</t>
        </is>
      </c>
      <c r="C179" s="7" t="inlineStr">
        <is>
          <t>RW</t>
        </is>
      </c>
      <c r="D179" s="8" t="inlineStr">
        <is>
          <t>0x00000100</t>
        </is>
      </c>
      <c r="E179" s="9" t="inlineStr">
        <is>
          <t>32b</t>
        </is>
      </c>
      <c r="F179" s="10" t="inlineStr">
        <is>
          <t>Horizontal velocity Ki. Q4.12.</t>
        </is>
      </c>
      <c r="G179" s="9" t="inlineStr">
        <is>
          <t>2</t>
        </is>
      </c>
    </row>
    <row r="180" ht="46" customHeight="1">
      <c r="A180" s="22" t="inlineStr">
        <is>
          <t>0x5060</t>
        </is>
      </c>
      <c r="B180" s="6" t="inlineStr">
        <is>
          <t>NAV_FENCE_R</t>
        </is>
      </c>
      <c r="C180" s="7" t="inlineStr">
        <is>
          <t>RW</t>
        </is>
      </c>
      <c r="D180" s="8" t="inlineStr">
        <is>
          <t>0x000001F4</t>
        </is>
      </c>
      <c r="E180" s="9" t="inlineStr">
        <is>
          <t>32b</t>
        </is>
      </c>
      <c r="F180" s="10" t="inlineStr">
        <is>
          <t>Geofence cylinder radius metres.</t>
        </is>
      </c>
      <c r="G180" s="9" t="inlineStr">
        <is>
          <t>2</t>
        </is>
      </c>
    </row>
    <row r="181" ht="46" customHeight="1">
      <c r="A181" s="22" t="inlineStr">
        <is>
          <t>0x5064</t>
        </is>
      </c>
      <c r="B181" s="6" t="inlineStr">
        <is>
          <t>NAV_FENCE_ALT</t>
        </is>
      </c>
      <c r="C181" s="7" t="inlineStr">
        <is>
          <t>RW</t>
        </is>
      </c>
      <c r="D181" s="8" t="inlineStr">
        <is>
          <t>0x000000C8</t>
        </is>
      </c>
      <c r="E181" s="9" t="inlineStr">
        <is>
          <t>32b</t>
        </is>
      </c>
      <c r="F181" s="10" t="inlineStr">
        <is>
          <t>Geofence max altitude AGL metres.</t>
        </is>
      </c>
      <c r="G181" s="9" t="inlineStr">
        <is>
          <t>2</t>
        </is>
      </c>
    </row>
    <row r="182" ht="46" customHeight="1">
      <c r="A182" s="22" t="inlineStr">
        <is>
          <t>0x5068</t>
        </is>
      </c>
      <c r="B182" s="6" t="inlineStr">
        <is>
          <t>NAV_TKOFF_ALT</t>
        </is>
      </c>
      <c r="C182" s="7" t="inlineStr">
        <is>
          <t>RW</t>
        </is>
      </c>
      <c r="D182" s="8" t="inlineStr">
        <is>
          <t>0x0000000A</t>
        </is>
      </c>
      <c r="E182" s="9" t="inlineStr">
        <is>
          <t>32b</t>
        </is>
      </c>
      <c r="F182" s="10" t="inlineStr">
        <is>
          <t>Auto-takeoff target altitude AGL metres.</t>
        </is>
      </c>
      <c r="G182" s="9" t="inlineStr">
        <is>
          <t>2</t>
        </is>
      </c>
    </row>
    <row r="183" ht="46" customHeight="1">
      <c r="A183" s="22" t="inlineStr">
        <is>
          <t>0x506C</t>
        </is>
      </c>
      <c r="B183" s="6" t="inlineStr">
        <is>
          <t>NAV_WP_RADIUS</t>
        </is>
      </c>
      <c r="C183" s="7" t="inlineStr">
        <is>
          <t>RW</t>
        </is>
      </c>
      <c r="D183" s="8" t="inlineStr">
        <is>
          <t>0x00000002</t>
        </is>
      </c>
      <c r="E183" s="9" t="inlineStr">
        <is>
          <t>32b</t>
        </is>
      </c>
      <c r="F183" s="10" t="inlineStr">
        <is>
          <t>Waypoint capture radius metres.</t>
        </is>
      </c>
      <c r="G183" s="9" t="inlineStr">
        <is>
          <t>2</t>
        </is>
      </c>
    </row>
    <row r="184" ht="46" customHeight="1">
      <c r="A184" s="22" t="inlineStr">
        <is>
          <t>0x5070</t>
        </is>
      </c>
      <c r="B184" s="6" t="inlineStr">
        <is>
          <t>NAV_RTL_ALT</t>
        </is>
      </c>
      <c r="C184" s="7" t="inlineStr">
        <is>
          <t>RW</t>
        </is>
      </c>
      <c r="D184" s="8" t="inlineStr">
        <is>
          <t>0x00000032</t>
        </is>
      </c>
      <c r="E184" s="9" t="inlineStr">
        <is>
          <t>32b</t>
        </is>
      </c>
      <c r="F184" s="10" t="inlineStr">
        <is>
          <t>RTL altitude AGL metres.</t>
        </is>
      </c>
      <c r="G184" s="9" t="inlineStr">
        <is>
          <t>2</t>
        </is>
      </c>
    </row>
    <row r="185" ht="46" customHeight="1">
      <c r="A185" s="22" t="inlineStr">
        <is>
          <t>0x5074</t>
        </is>
      </c>
      <c r="B185" s="6" t="inlineStr">
        <is>
          <t>MAV_SYSID</t>
        </is>
      </c>
      <c r="C185" s="7" t="inlineStr">
        <is>
          <t>RW</t>
        </is>
      </c>
      <c r="D185" s="8" t="inlineStr">
        <is>
          <t>0x00000101</t>
        </is>
      </c>
      <c r="E185" s="9" t="inlineStr">
        <is>
          <t>32b</t>
        </is>
      </c>
      <c r="F185" s="10" t="inlineStr">
        <is>
          <t>MAVLink SYSID / COMPID.</t>
        </is>
      </c>
      <c r="G185" s="9" t="inlineStr">
        <is>
          <t>3</t>
        </is>
      </c>
    </row>
    <row r="186" ht="46" customHeight="1">
      <c r="A186" s="22" t="inlineStr">
        <is>
          <t>0x5078</t>
        </is>
      </c>
      <c r="B186" s="6" t="inlineStr">
        <is>
          <t>MOTOR_PWM_MIN</t>
        </is>
      </c>
      <c r="C186" s="7" t="inlineStr">
        <is>
          <t>RW</t>
        </is>
      </c>
      <c r="D186" s="8" t="inlineStr">
        <is>
          <t>0x000003E8</t>
        </is>
      </c>
      <c r="E186" s="9" t="inlineStr">
        <is>
          <t>32b</t>
        </is>
      </c>
      <c r="F186" s="10" t="inlineStr">
        <is>
          <t>ESC minimum PWM microseconds (armed idle).</t>
        </is>
      </c>
      <c r="G186" s="9" t="inlineStr">
        <is>
          <t>2</t>
        </is>
      </c>
    </row>
    <row r="187" ht="46" customHeight="1">
      <c r="A187" s="22" t="inlineStr">
        <is>
          <t>0x507C</t>
        </is>
      </c>
      <c r="B187" s="6" t="inlineStr">
        <is>
          <t>MOTOR_PWM_MAX</t>
        </is>
      </c>
      <c r="C187" s="7" t="inlineStr">
        <is>
          <t>RW</t>
        </is>
      </c>
      <c r="D187" s="8" t="inlineStr">
        <is>
          <t>0x000007D0</t>
        </is>
      </c>
      <c r="E187" s="9" t="inlineStr">
        <is>
          <t>32b</t>
        </is>
      </c>
      <c r="F187" s="10" t="inlineStr">
        <is>
          <t>ESC maximum PWM microseconds (full throttle).</t>
        </is>
      </c>
      <c r="G187" s="9" t="inlineStr">
        <is>
          <t>2</t>
        </is>
      </c>
    </row>
    <row r="188" ht="46" customHeight="1">
      <c r="A188" s="22" t="inlineStr">
        <is>
          <t>0x5080</t>
        </is>
      </c>
      <c r="B188" s="6" t="inlineStr">
        <is>
          <t>MOTOR_FREQ</t>
        </is>
      </c>
      <c r="C188" s="7" t="inlineStr">
        <is>
          <t>RW</t>
        </is>
      </c>
      <c r="D188" s="8" t="inlineStr">
        <is>
          <t>0x00000190</t>
        </is>
      </c>
      <c r="E188" s="9" t="inlineStr">
        <is>
          <t>32b</t>
        </is>
      </c>
      <c r="F188" s="10" t="inlineStr">
        <is>
          <t>ESC PWM carrier frequency Hz (50–400).</t>
        </is>
      </c>
      <c r="G188" s="9" t="inlineStr">
        <is>
          <t>2</t>
        </is>
      </c>
    </row>
    <row r="189" ht="46" customHeight="1">
      <c r="A189" s="22" t="inlineStr">
        <is>
          <t>0x5084</t>
        </is>
      </c>
      <c r="B189" s="11" t="inlineStr">
        <is>
          <t>DBG_GPS_CNT</t>
        </is>
      </c>
      <c r="C189" s="12" t="inlineStr">
        <is>
          <t>RO</t>
        </is>
      </c>
      <c r="D189" s="13" t="inlineStr">
        <is>
          <t>0x00000000</t>
        </is>
      </c>
      <c r="E189" s="14" t="inlineStr">
        <is>
          <t>32b</t>
        </is>
      </c>
      <c r="F189" s="15" t="inlineStr">
        <is>
          <t>GPS valid-fix frame counter (10 Hz).</t>
        </is>
      </c>
      <c r="G189" s="14" t="inlineStr">
        <is>
          <t>1</t>
        </is>
      </c>
    </row>
    <row r="190" ht="46" customHeight="1">
      <c r="A190" s="22" t="inlineStr">
        <is>
          <t>0x5088</t>
        </is>
      </c>
      <c r="B190" s="11" t="inlineStr">
        <is>
          <t>DBG_PID_CNT</t>
        </is>
      </c>
      <c r="C190" s="12" t="inlineStr">
        <is>
          <t>RO</t>
        </is>
      </c>
      <c r="D190" s="13" t="inlineStr">
        <is>
          <t>0x00000000</t>
        </is>
      </c>
      <c r="E190" s="14" t="inlineStr">
        <is>
          <t>32b</t>
        </is>
      </c>
      <c r="F190" s="15" t="inlineStr">
        <is>
          <t>PID inner-loop compute counter (1 kHz).</t>
        </is>
      </c>
      <c r="G190" s="14" t="inlineStr">
        <is>
          <t>1</t>
        </is>
      </c>
    </row>
    <row r="191" ht="46" customHeight="1">
      <c r="A191" s="22" t="inlineStr">
        <is>
          <t>0x508C</t>
        </is>
      </c>
      <c r="B191" s="11" t="inlineStr">
        <is>
          <t>DBG_CA_EVTS</t>
        </is>
      </c>
      <c r="C191" s="12" t="inlineStr">
        <is>
          <t>RO</t>
        </is>
      </c>
      <c r="D191" s="13" t="inlineStr">
        <is>
          <t>0x00000000</t>
        </is>
      </c>
      <c r="E191" s="14" t="inlineStr">
        <is>
          <t>32b</t>
        </is>
      </c>
      <c r="F191" s="15" t="inlineStr">
        <is>
          <t>CA event counters.</t>
        </is>
      </c>
      <c r="G191" s="14" t="inlineStr">
        <is>
          <t>2</t>
        </is>
      </c>
    </row>
    <row r="192" ht="46" customHeight="1">
      <c r="A192" s="22" t="inlineStr">
        <is>
          <t>0x5090</t>
        </is>
      </c>
      <c r="B192" s="16" t="inlineStr">
        <is>
          <t>DBG_FAULT_LOG</t>
        </is>
      </c>
      <c r="C192" s="17" t="inlineStr">
        <is>
          <t>W1C</t>
        </is>
      </c>
      <c r="D192" s="18" t="inlineStr">
        <is>
          <t>0x00000000</t>
        </is>
      </c>
      <c r="E192" s="19" t="inlineStr">
        <is>
          <t>32b</t>
        </is>
      </c>
      <c r="F192" s="20" t="inlineStr">
        <is>
          <t>UAV latched fault log. Write 1 to clear individual bits.</t>
        </is>
      </c>
      <c r="G192" s="19" t="inlineStr">
        <is>
          <t>9</t>
        </is>
      </c>
    </row>
    <row r="193" ht="22" customHeight="1">
      <c r="A193" s="23" t="inlineStr">
        <is>
          <t>▶  Convergence Engine   (0x6000 – 0x6FFF)</t>
        </is>
      </c>
    </row>
    <row r="194" ht="46" customHeight="1">
      <c r="A194" s="24" t="inlineStr">
        <is>
          <t>0x6000</t>
        </is>
      </c>
      <c r="B194" s="6" t="inlineStr">
        <is>
          <t>CVG_CTRL</t>
        </is>
      </c>
      <c r="C194" s="7" t="inlineStr">
        <is>
          <t>RW</t>
        </is>
      </c>
      <c r="D194" s="8" t="inlineStr">
        <is>
          <t>0x00000001</t>
        </is>
      </c>
      <c r="E194" s="9" t="inlineStr">
        <is>
          <t>32b</t>
        </is>
      </c>
      <c r="F194" s="10" t="inlineStr">
        <is>
          <t>Convergence Engine Master Control.</t>
        </is>
      </c>
      <c r="G194" s="9" t="inlineStr">
        <is>
          <t>9</t>
        </is>
      </c>
    </row>
    <row r="195" ht="46" customHeight="1">
      <c r="A195" s="24" t="inlineStr">
        <is>
          <t>0x6004</t>
        </is>
      </c>
      <c r="B195" s="11" t="inlineStr">
        <is>
          <t>CVG_STATUS</t>
        </is>
      </c>
      <c r="C195" s="12" t="inlineStr">
        <is>
          <t>RO</t>
        </is>
      </c>
      <c r="D195" s="13" t="inlineStr">
        <is>
          <t>0x00000000</t>
        </is>
      </c>
      <c r="E195" s="14" t="inlineStr">
        <is>
          <t>32b</t>
        </is>
      </c>
      <c r="F195" s="15" t="inlineStr">
        <is>
          <t>Convergence Engine Status.</t>
        </is>
      </c>
      <c r="G195" s="14" t="inlineStr">
        <is>
          <t>10</t>
        </is>
      </c>
    </row>
    <row r="196" ht="46" customHeight="1">
      <c r="A196" s="24" t="inlineStr">
        <is>
          <t>0x6008</t>
        </is>
      </c>
      <c r="B196" s="6" t="inlineStr">
        <is>
          <t>APF_K_REP</t>
        </is>
      </c>
      <c r="C196" s="7" t="inlineStr">
        <is>
          <t>RW</t>
        </is>
      </c>
      <c r="D196" s="8" t="inlineStr">
        <is>
          <t>0x50000000</t>
        </is>
      </c>
      <c r="E196" s="9" t="inlineStr">
        <is>
          <t>32b</t>
        </is>
      </c>
      <c r="F196" s="10" t="inlineStr">
        <is>
          <t>APF repulsion gain k_rep. Q4.28. Default 5.0 m³/s².</t>
        </is>
      </c>
      <c r="G196" s="9" t="inlineStr">
        <is>
          <t>1</t>
        </is>
      </c>
    </row>
    <row r="197" ht="46" customHeight="1">
      <c r="A197" s="24" t="inlineStr">
        <is>
          <t>0x600C</t>
        </is>
      </c>
      <c r="B197" s="6" t="inlineStr">
        <is>
          <t>APF_K_DAMP</t>
        </is>
      </c>
      <c r="C197" s="7" t="inlineStr">
        <is>
          <t>RW</t>
        </is>
      </c>
      <c r="D197" s="8" t="inlineStr">
        <is>
          <t>0x04CCCCCD</t>
        </is>
      </c>
      <c r="E197" s="9" t="inlineStr">
        <is>
          <t>32b</t>
        </is>
      </c>
      <c r="F197" s="10" t="inlineStr">
        <is>
          <t>APF damping gain k_damp. Q4.28. Default 0.3 s⁻¹.</t>
        </is>
      </c>
      <c r="G197" s="9" t="inlineStr">
        <is>
          <t>1</t>
        </is>
      </c>
    </row>
    <row r="198" ht="46" customHeight="1">
      <c r="A198" s="24" t="inlineStr">
        <is>
          <t>0x6010</t>
        </is>
      </c>
      <c r="B198" s="6" t="inlineStr">
        <is>
          <t>APF_D_SAFE</t>
        </is>
      </c>
      <c r="C198" s="7" t="inlineStr">
        <is>
          <t>RW</t>
        </is>
      </c>
      <c r="D198" s="8" t="inlineStr">
        <is>
          <t>0x0000000A</t>
        </is>
      </c>
      <c r="E198" s="9" t="inlineStr">
        <is>
          <t>32b</t>
        </is>
      </c>
      <c r="F198" s="10" t="inlineStr">
        <is>
          <t>APF safety radius metres. Integer. Default 10. Hard floor: 2 m.</t>
        </is>
      </c>
      <c r="G198" s="9" t="inlineStr">
        <is>
          <t>2</t>
        </is>
      </c>
    </row>
    <row r="199" ht="46" customHeight="1">
      <c r="A199" s="24" t="inlineStr">
        <is>
          <t>0x6014</t>
        </is>
      </c>
      <c r="B199" s="6" t="inlineStr">
        <is>
          <t>APF_F_MAX</t>
        </is>
      </c>
      <c r="C199" s="7" t="inlineStr">
        <is>
          <t>RW</t>
        </is>
      </c>
      <c r="D199" s="8" t="inlineStr">
        <is>
          <t>0x50000000</t>
        </is>
      </c>
      <c r="E199" s="9" t="inlineStr">
        <is>
          <t>32b</t>
        </is>
      </c>
      <c r="F199" s="10" t="inlineStr">
        <is>
          <t>APF max velocity correction output. Q4.28. Default 5.0 m/s.</t>
        </is>
      </c>
      <c r="G199" s="9" t="inlineStr">
        <is>
          <t>1</t>
        </is>
      </c>
    </row>
    <row r="200" ht="46" customHeight="1">
      <c r="A200" s="24" t="inlineStr">
        <is>
          <t>0x6018</t>
        </is>
      </c>
      <c r="B200" s="6" t="inlineStr">
        <is>
          <t>APF_CAUTION</t>
        </is>
      </c>
      <c r="C200" s="7" t="inlineStr">
        <is>
          <t>RW</t>
        </is>
      </c>
      <c r="D200" s="8" t="inlineStr">
        <is>
          <t>0x00000002</t>
        </is>
      </c>
      <c r="E200" s="9" t="inlineStr">
        <is>
          <t>32b</t>
        </is>
      </c>
      <c r="F200" s="10" t="inlineStr">
        <is>
          <t>APF caution zone multiplier (× d_safe). Default 2 → 20 m zone.</t>
        </is>
      </c>
      <c r="G200" s="9" t="inlineStr">
        <is>
          <t>2</t>
        </is>
      </c>
    </row>
    <row r="201" ht="46" customHeight="1">
      <c r="A201" s="24" t="inlineStr">
        <is>
          <t>0x601C</t>
        </is>
      </c>
      <c r="B201" s="6" t="inlineStr">
        <is>
          <t>FORM_BASELINE</t>
        </is>
      </c>
      <c r="C201" s="7" t="inlineStr">
        <is>
          <t>RW</t>
        </is>
      </c>
      <c r="D201" s="8" t="inlineStr">
        <is>
          <t>0x00000032</t>
        </is>
      </c>
      <c r="E201" s="9" t="inlineStr">
        <is>
          <t>32b</t>
        </is>
      </c>
      <c r="F201" s="10" t="inlineStr">
        <is>
          <t>Formation baseline spacing metres. Integer. Default 50 m.</t>
        </is>
      </c>
      <c r="G201" s="9" t="inlineStr">
        <is>
          <t>2</t>
        </is>
      </c>
    </row>
    <row r="202" ht="46" customHeight="1">
      <c r="A202" s="24" t="inlineStr">
        <is>
          <t>0x6020</t>
        </is>
      </c>
      <c r="B202" s="6" t="inlineStr">
        <is>
          <t>FORM_SCALE</t>
        </is>
      </c>
      <c r="C202" s="7" t="inlineStr">
        <is>
          <t>RW</t>
        </is>
      </c>
      <c r="D202" s="8" t="inlineStr">
        <is>
          <t>0x00001000</t>
        </is>
      </c>
      <c r="E202" s="9" t="inlineStr">
        <is>
          <t>32b</t>
        </is>
      </c>
      <c r="F202" s="10" t="inlineStr">
        <is>
          <t>Formation scale factor. Q4.12. Multiplies all δ_f offset vectors. Default 1.0.</t>
        </is>
      </c>
      <c r="G202" s="9" t="inlineStr">
        <is>
          <t>2</t>
        </is>
      </c>
    </row>
    <row r="203" ht="46" customHeight="1">
      <c r="A203" s="24" t="inlineStr">
        <is>
          <t>0x6024</t>
        </is>
      </c>
      <c r="B203" s="6" t="inlineStr">
        <is>
          <t>FORM_TRANS_STEPS</t>
        </is>
      </c>
      <c r="C203" s="7" t="inlineStr">
        <is>
          <t>RW</t>
        </is>
      </c>
      <c r="D203" s="8" t="inlineStr">
        <is>
          <t>0x00000014</t>
        </is>
      </c>
      <c r="E203" s="9" t="inlineStr">
        <is>
          <t>32b</t>
        </is>
      </c>
      <c r="F203" s="10" t="inlineStr">
        <is>
          <t>Formation transition interpolation steps. Default 20 = 2 s at 10 Hz.</t>
        </is>
      </c>
      <c r="G203" s="9" t="inlineStr">
        <is>
          <t>2</t>
        </is>
      </c>
    </row>
    <row r="204" ht="46" customHeight="1">
      <c r="A204" s="24" t="inlineStr">
        <is>
          <t>0x6028</t>
        </is>
      </c>
      <c r="B204" s="6" t="inlineStr">
        <is>
          <t>FORM_ERR_THRESH</t>
        </is>
      </c>
      <c r="C204" s="7" t="inlineStr">
        <is>
          <t>RW</t>
        </is>
      </c>
      <c r="D204" s="8" t="inlineStr">
        <is>
          <t>0x00400000</t>
        </is>
      </c>
      <c r="E204" s="9" t="inlineStr">
        <is>
          <t>32b</t>
        </is>
      </c>
      <c r="F204" s="10" t="inlineStr">
        <is>
          <t>Per-vehicle formation error threshold Q10.22. Default 1.0 m = 0x00400000.</t>
        </is>
      </c>
      <c r="G204" s="9" t="inlineStr">
        <is>
          <t>1</t>
        </is>
      </c>
    </row>
    <row r="205" ht="46" customHeight="1">
      <c r="A205" s="24" t="inlineStr">
        <is>
          <t>0x602C</t>
        </is>
      </c>
      <c r="B205" s="6" t="inlineStr">
        <is>
          <t>FORM_KFF</t>
        </is>
      </c>
      <c r="C205" s="7" t="inlineStr">
        <is>
          <t>RW</t>
        </is>
      </c>
      <c r="D205" s="8" t="inlineStr">
        <is>
          <t>0x00000800</t>
        </is>
      </c>
      <c r="E205" s="9" t="inlineStr">
        <is>
          <t>32b</t>
        </is>
      </c>
      <c r="F205" s="10" t="inlineStr">
        <is>
          <t>Formation feed-forward velocity gain K_ff. Q4.12. Default 0.5.</t>
        </is>
      </c>
      <c r="G205" s="9" t="inlineStr">
        <is>
          <t>2</t>
        </is>
      </c>
    </row>
    <row r="206" ht="46" customHeight="1">
      <c r="A206" s="24" t="inlineStr">
        <is>
          <t>0x6030</t>
        </is>
      </c>
      <c r="B206" s="6" t="inlineStr">
        <is>
          <t>MVK_Q_POS</t>
        </is>
      </c>
      <c r="C206" s="7" t="inlineStr">
        <is>
          <t>RW</t>
        </is>
      </c>
      <c r="D206" s="8" t="inlineStr">
        <is>
          <t>0x00028F5C</t>
        </is>
      </c>
      <c r="E206" s="9" t="inlineStr">
        <is>
          <t>32b</t>
        </is>
      </c>
      <c r="F206" s="10" t="inlineStr">
        <is>
          <t>MVK per-vehicle position process noise. Q10.22. Default 0.01 m².</t>
        </is>
      </c>
      <c r="G206" s="9" t="inlineStr">
        <is>
          <t>1</t>
        </is>
      </c>
    </row>
    <row r="207" ht="46" customHeight="1">
      <c r="A207" s="24" t="inlineStr">
        <is>
          <t>0x6034</t>
        </is>
      </c>
      <c r="B207" s="6" t="inlineStr">
        <is>
          <t>MVK_Q_VEL</t>
        </is>
      </c>
      <c r="C207" s="7" t="inlineStr">
        <is>
          <t>RW</t>
        </is>
      </c>
      <c r="D207" s="8" t="inlineStr">
        <is>
          <t>0x000010C7</t>
        </is>
      </c>
      <c r="E207" s="9" t="inlineStr">
        <is>
          <t>32b</t>
        </is>
      </c>
      <c r="F207" s="10" t="inlineStr">
        <is>
          <t>MVK per-vehicle velocity process noise. Q4.28. Default 0.001 (m/s)².</t>
        </is>
      </c>
      <c r="G207" s="9" t="inlineStr">
        <is>
          <t>1</t>
        </is>
      </c>
    </row>
    <row r="208" ht="46" customHeight="1">
      <c r="A208" s="24" t="inlineStr">
        <is>
          <t>0x6038</t>
        </is>
      </c>
      <c r="B208" s="6" t="inlineStr">
        <is>
          <t>MVK_R_ISL</t>
        </is>
      </c>
      <c r="C208" s="7" t="inlineStr">
        <is>
          <t>RW</t>
        </is>
      </c>
      <c r="D208" s="8" t="inlineStr">
        <is>
          <t>0x00400000</t>
        </is>
      </c>
      <c r="E208" s="9" t="inlineStr">
        <is>
          <t>32b</t>
        </is>
      </c>
      <c r="F208" s="10" t="inlineStr">
        <is>
          <t>MVK ISL position measurement noise. Q10.22. Default 1.0 m².</t>
        </is>
      </c>
      <c r="G208" s="9" t="inlineStr">
        <is>
          <t>1</t>
        </is>
      </c>
    </row>
    <row r="209" ht="46" customHeight="1">
      <c r="A209" s="24" t="inlineStr">
        <is>
          <t>0x603C</t>
        </is>
      </c>
      <c r="B209" s="6" t="inlineStr">
        <is>
          <t>MVK_R_GPS</t>
        </is>
      </c>
      <c r="C209" s="7" t="inlineStr">
        <is>
          <t>RW</t>
        </is>
      </c>
      <c r="D209" s="8" t="inlineStr">
        <is>
          <t>0x02400000</t>
        </is>
      </c>
      <c r="E209" s="9" t="inlineStr">
        <is>
          <t>32b</t>
        </is>
      </c>
      <c r="F209" s="10" t="inlineStr">
        <is>
          <t>MVK GPS position measurement noise. Q10.22. Default 9.0 m².</t>
        </is>
      </c>
      <c r="G209" s="9" t="inlineStr">
        <is>
          <t>1</t>
        </is>
      </c>
    </row>
    <row r="210" ht="46" customHeight="1">
      <c r="A210" s="24" t="inlineStr">
        <is>
          <t>0x6040</t>
        </is>
      </c>
      <c r="B210" s="6" t="inlineStr">
        <is>
          <t>MVK_GATE</t>
        </is>
      </c>
      <c r="C210" s="7" t="inlineStr">
        <is>
          <t>RW</t>
        </is>
      </c>
      <c r="D210" s="8" t="inlineStr">
        <is>
          <t>0x00000005</t>
        </is>
      </c>
      <c r="E210" s="9" t="inlineStr">
        <is>
          <t>32b</t>
        </is>
      </c>
      <c r="F210" s="10" t="inlineStr">
        <is>
          <t>MVK innovation gate threshold (σ). Default 5.</t>
        </is>
      </c>
      <c r="G210" s="9" t="inlineStr">
        <is>
          <t>2</t>
        </is>
      </c>
    </row>
    <row r="211" ht="46" customHeight="1">
      <c r="A211" s="24" t="inlineStr">
        <is>
          <t>0x6044</t>
        </is>
      </c>
      <c r="B211" s="6" t="inlineStr">
        <is>
          <t>ARB_SLOT_MS</t>
        </is>
      </c>
      <c r="C211" s="7" t="inlineStr">
        <is>
          <t>RW</t>
        </is>
      </c>
      <c r="D211" s="8" t="inlineStr">
        <is>
          <t>0x00000064</t>
        </is>
      </c>
      <c r="E211" s="9" t="inlineStr">
        <is>
          <t>32b</t>
        </is>
      </c>
      <c r="F211" s="10" t="inlineStr">
        <is>
          <t>TDM slot duration milliseconds. Default 100 ms. Range 50–500 ms.</t>
        </is>
      </c>
      <c r="G211" s="9" t="inlineStr">
        <is>
          <t>2</t>
        </is>
      </c>
    </row>
    <row r="212" ht="46" customHeight="1">
      <c r="A212" s="24" t="inlineStr">
        <is>
          <t>0x6048</t>
        </is>
      </c>
      <c r="B212" s="6" t="inlineStr">
        <is>
          <t>ARB_ISL_SPLIT</t>
        </is>
      </c>
      <c r="C212" s="7" t="inlineStr">
        <is>
          <t>RW</t>
        </is>
      </c>
      <c r="D212" s="8" t="inlineStr">
        <is>
          <t>0x0000003C</t>
        </is>
      </c>
      <c r="E212" s="9" t="inlineStr">
        <is>
          <t>32b</t>
        </is>
      </c>
      <c r="F212" s="10" t="inlineStr">
        <is>
          <t>ISL TX percentage of slot. Default 60%.</t>
        </is>
      </c>
      <c r="G212" s="9" t="inlineStr">
        <is>
          <t>2</t>
        </is>
      </c>
    </row>
    <row r="213" ht="46" customHeight="1">
      <c r="A213" s="24" t="inlineStr">
        <is>
          <t>0x604C</t>
        </is>
      </c>
      <c r="B213" s="6" t="inlineStr">
        <is>
          <t>ARB_GUARD_MS</t>
        </is>
      </c>
      <c r="C213" s="7" t="inlineStr">
        <is>
          <t>RW</t>
        </is>
      </c>
      <c r="D213" s="8" t="inlineStr">
        <is>
          <t>0x00000002</t>
        </is>
      </c>
      <c r="E213" s="9" t="inlineStr">
        <is>
          <t>32b</t>
        </is>
      </c>
      <c r="F213" s="10" t="inlineStr">
        <is>
          <t>ISL TX/RX guard interval milliseconds. Default 2 ms.</t>
        </is>
      </c>
      <c r="G213" s="9" t="inlineStr">
        <is>
          <t>2</t>
        </is>
      </c>
    </row>
    <row r="214" ht="46" customHeight="1">
      <c r="A214" s="24" t="inlineStr">
        <is>
          <t>0x6050</t>
        </is>
      </c>
      <c r="B214" s="6" t="inlineStr">
        <is>
          <t>ARB_DISPATCH_MS</t>
        </is>
      </c>
      <c r="C214" s="7" t="inlineStr">
        <is>
          <t>RW</t>
        </is>
      </c>
      <c r="D214" s="8" t="inlineStr">
        <is>
          <t>0x00000014</t>
        </is>
      </c>
      <c r="E214" s="9" t="inlineStr">
        <is>
          <t>32b</t>
        </is>
      </c>
      <c r="F214" s="10" t="inlineStr">
        <is>
          <t>Formation command dispatch window at slot end. Default 20 ms.</t>
        </is>
      </c>
      <c r="G214" s="9" t="inlineStr">
        <is>
          <t>2</t>
        </is>
      </c>
    </row>
    <row r="215" ht="46" customHeight="1">
      <c r="A215" s="24" t="inlineStr">
        <is>
          <t>0x6054</t>
        </is>
      </c>
      <c r="B215" s="11" t="inlineStr">
        <is>
          <t>CVG_SCORE_REG</t>
        </is>
      </c>
      <c r="C215" s="12" t="inlineStr">
        <is>
          <t>RO</t>
        </is>
      </c>
      <c r="D215" s="13" t="inlineStr">
        <is>
          <t>0x00000000</t>
        </is>
      </c>
      <c r="E215" s="14" t="inlineStr">
        <is>
          <t>32b</t>
        </is>
      </c>
      <c r="F215" s="15" t="inlineStr">
        <is>
          <t>Current CVG_SCORE. Q4.28. 1.0=perfect formation = 0x10000000.</t>
        </is>
      </c>
      <c r="G215" s="14" t="inlineStr">
        <is>
          <t>1</t>
        </is>
      </c>
    </row>
    <row r="216" ht="46" customHeight="1">
      <c r="A216" s="24" t="inlineStr">
        <is>
          <t>0x6058</t>
        </is>
      </c>
      <c r="B216" s="6" t="inlineStr">
        <is>
          <t>CVG_SCORE_THR</t>
        </is>
      </c>
      <c r="C216" s="7" t="inlineStr">
        <is>
          <t>RW</t>
        </is>
      </c>
      <c r="D216" s="8" t="inlineStr">
        <is>
          <t>0x0CCCCCCD</t>
        </is>
      </c>
      <c r="E216" s="9" t="inlineStr">
        <is>
          <t>32b</t>
        </is>
      </c>
      <c r="F216" s="10" t="inlineStr">
        <is>
          <t>FORMATION_ACHIEVED threshold. CVG_SCORE must exceed this. Default 0.8.</t>
        </is>
      </c>
      <c r="G216" s="9" t="inlineStr">
        <is>
          <t>1</t>
        </is>
      </c>
    </row>
    <row r="217" ht="46" customHeight="1">
      <c r="A217" s="24" t="inlineStr">
        <is>
          <t>0x605C</t>
        </is>
      </c>
      <c r="B217" s="11" t="inlineStr">
        <is>
          <t>DBG_MVK_CNT</t>
        </is>
      </c>
      <c r="C217" s="12" t="inlineStr">
        <is>
          <t>RO</t>
        </is>
      </c>
      <c r="D217" s="13" t="inlineStr">
        <is>
          <t>0x00000000</t>
        </is>
      </c>
      <c r="E217" s="14" t="inlineStr">
        <is>
          <t>32b</t>
        </is>
      </c>
      <c r="F217" s="15" t="inlineStr">
        <is>
          <t>MVK update counter (10 Hz DATA_READY strobe).</t>
        </is>
      </c>
      <c r="G217" s="14" t="inlineStr">
        <is>
          <t>1</t>
        </is>
      </c>
    </row>
    <row r="218" ht="46" customHeight="1">
      <c r="A218" s="24" t="inlineStr">
        <is>
          <t>0x6060</t>
        </is>
      </c>
      <c r="B218" s="11" t="inlineStr">
        <is>
          <t>DBG_FORM_TRANS</t>
        </is>
      </c>
      <c r="C218" s="12" t="inlineStr">
        <is>
          <t>RO</t>
        </is>
      </c>
      <c r="D218" s="13" t="inlineStr">
        <is>
          <t>0x00000000</t>
        </is>
      </c>
      <c r="E218" s="14" t="inlineStr">
        <is>
          <t>32b</t>
        </is>
      </c>
      <c r="F218" s="15" t="inlineStr">
        <is>
          <t>Formation transition statistics.</t>
        </is>
      </c>
      <c r="G218" s="14" t="inlineStr">
        <is>
          <t>2</t>
        </is>
      </c>
    </row>
    <row r="219" ht="46" customHeight="1">
      <c r="A219" s="24" t="inlineStr">
        <is>
          <t>0x6064</t>
        </is>
      </c>
      <c r="B219" s="11" t="inlineStr">
        <is>
          <t>DBG_APF_THREATS</t>
        </is>
      </c>
      <c r="C219" s="12" t="inlineStr">
        <is>
          <t>RO</t>
        </is>
      </c>
      <c r="D219" s="13" t="inlineStr">
        <is>
          <t>0x00000000</t>
        </is>
      </c>
      <c r="E219" s="14" t="inlineStr">
        <is>
          <t>32b</t>
        </is>
      </c>
      <c r="F219" s="15" t="inlineStr">
        <is>
          <t>APF threat and E-STOP counters.</t>
        </is>
      </c>
      <c r="G219" s="14" t="inlineStr">
        <is>
          <t>2</t>
        </is>
      </c>
    </row>
    <row r="220" ht="46" customHeight="1">
      <c r="A220" s="24" t="inlineStr">
        <is>
          <t>0x6068</t>
        </is>
      </c>
      <c r="B220" s="11" t="inlineStr">
        <is>
          <t>DBG_ARB_OVERRUNS</t>
        </is>
      </c>
      <c r="C220" s="12" t="inlineStr">
        <is>
          <t>RO</t>
        </is>
      </c>
      <c r="D220" s="13" t="inlineStr">
        <is>
          <t>0x00000000</t>
        </is>
      </c>
      <c r="E220" s="14" t="inlineStr">
        <is>
          <t>32b</t>
        </is>
      </c>
      <c r="F220" s="15" t="inlineStr">
        <is>
          <t>Arbiter slot-overrun and CA pre-emption counters.</t>
        </is>
      </c>
      <c r="G220" s="14" t="inlineStr">
        <is>
          <t>2</t>
        </is>
      </c>
    </row>
    <row r="221" ht="46" customHeight="1">
      <c r="A221" s="24" t="inlineStr">
        <is>
          <t>0x606C</t>
        </is>
      </c>
      <c r="B221" s="16" t="inlineStr">
        <is>
          <t>DBG_FAULT_LOG</t>
        </is>
      </c>
      <c r="C221" s="17" t="inlineStr">
        <is>
          <t>W1C</t>
        </is>
      </c>
      <c r="D221" s="18" t="inlineStr">
        <is>
          <t>0x00000000</t>
        </is>
      </c>
      <c r="E221" s="19" t="inlineStr">
        <is>
          <t>32b</t>
        </is>
      </c>
      <c r="F221" s="20" t="inlineStr">
        <is>
          <t>CVG latched fault log. Write 1 to clear each bit.</t>
        </is>
      </c>
      <c r="G221" s="19" t="inlineStr">
        <is>
          <t>9</t>
        </is>
      </c>
    </row>
  </sheetData>
  <mergeCells count="9">
    <mergeCell ref="A193:G193"/>
    <mergeCell ref="A1:G1"/>
    <mergeCell ref="A79:G79"/>
    <mergeCell ref="A155:G155"/>
    <mergeCell ref="A4:G4"/>
    <mergeCell ref="A54:G54"/>
    <mergeCell ref="A2:G2"/>
    <mergeCell ref="A29:G29"/>
    <mergeCell ref="A117:G1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" customWidth="1" min="3" max="3"/>
    <col width="5" customWidth="1" min="4" max="4"/>
    <col width="18" customWidth="1" min="5" max="5"/>
    <col width="6" customWidth="1" min="6" max="6"/>
    <col width="58" customWidth="1" min="7" max="7"/>
  </cols>
  <sheetData>
    <row r="1" ht="26" customHeight="1">
      <c r="A1" s="1" t="inlineStr">
        <is>
          <t>AXI4-Lite Bit-Field Reference — Complete Field-Level Register Description</t>
        </is>
      </c>
    </row>
    <row r="2" ht="14" customHeight="1">
      <c r="A2" s="2" t="inlineStr">
        <is>
          <t>Each row = one named bit-field. MSB:LSB are inclusive indices within the 32-bit register. W1C = write-1-to-clear latched flag.</t>
        </is>
      </c>
    </row>
    <row r="3" ht="30" customHeight="1">
      <c r="A3" s="3" t="inlineStr">
        <is>
          <t>Address</t>
        </is>
      </c>
      <c r="B3" s="3" t="inlineStr">
        <is>
          <t>Register</t>
        </is>
      </c>
      <c r="C3" s="3" t="inlineStr">
        <is>
          <t>MSB</t>
        </is>
      </c>
      <c r="D3" s="3" t="inlineStr">
        <is>
          <t>LSB</t>
        </is>
      </c>
      <c r="E3" s="3" t="inlineStr">
        <is>
          <t>Field Name</t>
        </is>
      </c>
      <c r="F3" s="3" t="inlineStr">
        <is>
          <t>R/W</t>
        </is>
      </c>
      <c r="G3" s="3" t="inlineStr">
        <is>
          <t>Bit-Field Description</t>
        </is>
      </c>
    </row>
    <row r="4" ht="20" customHeight="1">
      <c r="A4" s="4" t="inlineStr">
        <is>
          <t>▶  CubeSat 1</t>
        </is>
      </c>
    </row>
    <row r="5" ht="32" customHeight="1">
      <c r="A5" s="5" t="inlineStr">
        <is>
          <t>0x0000</t>
        </is>
      </c>
      <c r="B5" s="25" t="inlineStr">
        <is>
          <t>CS_CTRL</t>
        </is>
      </c>
      <c r="C5" s="26" t="inlineStr">
        <is>
          <t>31</t>
        </is>
      </c>
      <c r="D5" s="26" t="inlineStr">
        <is>
          <t>16</t>
        </is>
      </c>
      <c r="E5" s="27" t="inlineStr">
        <is>
          <t>RESERVED</t>
        </is>
      </c>
      <c r="F5" s="28" t="inlineStr">
        <is>
          <t>RW</t>
        </is>
      </c>
      <c r="G5" s="29" t="inlineStr">
        <is>
          <t>Write 0; read returns 0.</t>
        </is>
      </c>
    </row>
    <row r="6" ht="32" customHeight="1">
      <c r="A6" s="30" t="inlineStr">
        <is>
          <t>0x0000</t>
        </is>
      </c>
      <c r="B6" s="31" t="inlineStr">
        <is>
          <t>CS_CTRL</t>
        </is>
      </c>
      <c r="C6" s="32" t="inlineStr">
        <is>
          <t>15</t>
        </is>
      </c>
      <c r="D6" s="32" t="inlineStr">
        <is>
          <t>12</t>
        </is>
      </c>
      <c r="E6" s="33" t="inlineStr">
        <is>
          <t>MODE</t>
        </is>
      </c>
      <c r="F6" s="34" t="inlineStr">
        <is>
          <t>RW</t>
        </is>
      </c>
      <c r="G6" s="35" t="inlineStr">
        <is>
          <t>ADCS operating mode: 0=DETUMBLE 1=COARSE 2=FINE 3=SAFE 4=MANEUVER</t>
        </is>
      </c>
    </row>
    <row r="7" ht="32" customHeight="1">
      <c r="A7" s="24" t="inlineStr">
        <is>
          <t>0x0000</t>
        </is>
      </c>
      <c r="B7" s="36" t="inlineStr">
        <is>
          <t>CS_CTRL</t>
        </is>
      </c>
      <c r="C7" s="37" t="inlineStr">
        <is>
          <t>11</t>
        </is>
      </c>
      <c r="D7" s="37" t="inlineStr">
        <is>
          <t>8</t>
        </is>
      </c>
      <c r="E7" s="38" t="inlineStr">
        <is>
          <t>ESTOP_CLR</t>
        </is>
      </c>
      <c r="F7" s="39" t="inlineStr">
        <is>
          <t>RW</t>
        </is>
      </c>
      <c r="G7" s="40" t="inlineStr">
        <is>
          <t>Write 0xA to clear ESTOP latch (software confirmation).</t>
        </is>
      </c>
    </row>
    <row r="8" ht="32" customHeight="1">
      <c r="A8" s="41" t="inlineStr">
        <is>
          <t>0x0000</t>
        </is>
      </c>
      <c r="B8" s="42" t="inlineStr">
        <is>
          <t>CS_CTRL</t>
        </is>
      </c>
      <c r="C8" s="43" t="inlineStr">
        <is>
          <t>3</t>
        </is>
      </c>
      <c r="D8" s="43" t="inlineStr">
        <is>
          <t>3</t>
        </is>
      </c>
      <c r="E8" s="44" t="inlineStr">
        <is>
          <t>EKF_EN</t>
        </is>
      </c>
      <c r="F8" s="45" t="inlineStr">
        <is>
          <t>RW</t>
        </is>
      </c>
      <c r="G8" s="46" t="inlineStr">
        <is>
          <t>1=Enable quaternion EKF; 0=freeze EKF state.</t>
        </is>
      </c>
    </row>
    <row r="9" ht="32" customHeight="1">
      <c r="A9" s="22" t="inlineStr">
        <is>
          <t>0x0000</t>
        </is>
      </c>
      <c r="B9" s="47" t="inlineStr">
        <is>
          <t>CS_CTRL</t>
        </is>
      </c>
      <c r="C9" s="48" t="inlineStr">
        <is>
          <t>2</t>
        </is>
      </c>
      <c r="D9" s="48" t="inlineStr">
        <is>
          <t>2</t>
        </is>
      </c>
      <c r="E9" s="49" t="inlineStr">
        <is>
          <t>ADCS_EN</t>
        </is>
      </c>
      <c r="F9" s="50" t="inlineStr">
        <is>
          <t>RW</t>
        </is>
      </c>
      <c r="G9" s="51" t="inlineStr">
        <is>
          <t>1=Enable ADCS control outputs; 0=zero all actuators.</t>
        </is>
      </c>
    </row>
    <row r="10" ht="32" customHeight="1">
      <c r="A10" s="52" t="inlineStr">
        <is>
          <t>0x0000</t>
        </is>
      </c>
      <c r="B10" s="53" t="inlineStr">
        <is>
          <t>CS_CTRL</t>
        </is>
      </c>
      <c r="C10" s="54" t="inlineStr">
        <is>
          <t>1</t>
        </is>
      </c>
      <c r="D10" s="54" t="inlineStr">
        <is>
          <t>1</t>
        </is>
      </c>
      <c r="E10" s="55" t="inlineStr">
        <is>
          <t>SOFT_RST</t>
        </is>
      </c>
      <c r="F10" s="56" t="inlineStr">
        <is>
          <t>RW</t>
        </is>
      </c>
      <c r="G10" s="57" t="inlineStr">
        <is>
          <t>Write 1 asserts 8-cycle soft reset (self-clearing).</t>
        </is>
      </c>
    </row>
    <row r="11" ht="32" customHeight="1">
      <c r="A11" s="58" t="inlineStr">
        <is>
          <t>0x0000</t>
        </is>
      </c>
      <c r="B11" s="59" t="inlineStr">
        <is>
          <t>CS_CTRL</t>
        </is>
      </c>
      <c r="C11" s="60" t="inlineStr">
        <is>
          <t>0</t>
        </is>
      </c>
      <c r="D11" s="60" t="inlineStr">
        <is>
          <t>0</t>
        </is>
      </c>
      <c r="E11" s="16" t="inlineStr">
        <is>
          <t>CS_EN</t>
        </is>
      </c>
      <c r="F11" s="61" t="inlineStr">
        <is>
          <t>RW</t>
        </is>
      </c>
      <c r="G11" s="20" t="inlineStr">
        <is>
          <t>1=CubeSat subsystem enabled; 0=all outputs tri-stated.</t>
        </is>
      </c>
    </row>
    <row r="12" ht="32" customHeight="1">
      <c r="A12" s="5" t="inlineStr">
        <is>
          <t>0x0004</t>
        </is>
      </c>
      <c r="B12" s="25" t="inlineStr">
        <is>
          <t>CS_STATUS</t>
        </is>
      </c>
      <c r="C12" s="26" t="inlineStr">
        <is>
          <t>31</t>
        </is>
      </c>
      <c r="D12" s="26" t="inlineStr">
        <is>
          <t>28</t>
        </is>
      </c>
      <c r="E12" s="27" t="inlineStr">
        <is>
          <t>RESERVED</t>
        </is>
      </c>
      <c r="F12" s="62" t="inlineStr">
        <is>
          <t>RO</t>
        </is>
      </c>
      <c r="G12" s="29" t="inlineStr">
        <is>
          <t>Reserved.</t>
        </is>
      </c>
    </row>
    <row r="13" ht="32" customHeight="1">
      <c r="A13" s="30" t="inlineStr">
        <is>
          <t>0x0004</t>
        </is>
      </c>
      <c r="B13" s="31" t="inlineStr">
        <is>
          <t>CS_STATUS</t>
        </is>
      </c>
      <c r="C13" s="32" t="inlineStr">
        <is>
          <t>27</t>
        </is>
      </c>
      <c r="D13" s="32" t="inlineStr">
        <is>
          <t>24</t>
        </is>
      </c>
      <c r="E13" s="33" t="inlineStr">
        <is>
          <t>ADCS_STATE</t>
        </is>
      </c>
      <c r="F13" s="63" t="inlineStr">
        <is>
          <t>RO</t>
        </is>
      </c>
      <c r="G13" s="35" t="inlineStr">
        <is>
          <t>0=BOOT 1=DETUMBLE 2=COARSE 3=FINE 4=SAFE</t>
        </is>
      </c>
    </row>
    <row r="14" ht="32" customHeight="1">
      <c r="A14" s="24" t="inlineStr">
        <is>
          <t>0x0004</t>
        </is>
      </c>
      <c r="B14" s="36" t="inlineStr">
        <is>
          <t>CS_STATUS</t>
        </is>
      </c>
      <c r="C14" s="37" t="inlineStr">
        <is>
          <t>23</t>
        </is>
      </c>
      <c r="D14" s="37" t="inlineStr">
        <is>
          <t>20</t>
        </is>
      </c>
      <c r="E14" s="38" t="inlineStr">
        <is>
          <t>LASER_STATE</t>
        </is>
      </c>
      <c r="F14" s="64" t="inlineStr">
        <is>
          <t>RO</t>
        </is>
      </c>
      <c r="G14" s="40" t="inlineStr">
        <is>
          <t>0=IDLE 1=SEARCH 2=ACQUIRE 3=TRACK 4=COMM 5=FAULT</t>
        </is>
      </c>
    </row>
    <row r="15" ht="32" customHeight="1">
      <c r="A15" s="41" t="inlineStr">
        <is>
          <t>0x0004</t>
        </is>
      </c>
      <c r="B15" s="42" t="inlineStr">
        <is>
          <t>CS_STATUS</t>
        </is>
      </c>
      <c r="C15" s="43" t="inlineStr">
        <is>
          <t>19</t>
        </is>
      </c>
      <c r="D15" s="43" t="inlineStr">
        <is>
          <t>16</t>
        </is>
      </c>
      <c r="E15" s="44" t="inlineStr">
        <is>
          <t>FAULT_CODE</t>
        </is>
      </c>
      <c r="F15" s="65" t="inlineStr">
        <is>
          <t>RO</t>
        </is>
      </c>
      <c r="G15" s="46" t="inlineStr">
        <is>
          <t>0=none 1=IMU_TMO 2=MAG_ERR 3=RW_FLT 4=COVAR_OVF</t>
        </is>
      </c>
    </row>
    <row r="16" ht="32" customHeight="1">
      <c r="A16" s="22" t="inlineStr">
        <is>
          <t>0x0004</t>
        </is>
      </c>
      <c r="B16" s="47" t="inlineStr">
        <is>
          <t>CS_STATUS</t>
        </is>
      </c>
      <c r="C16" s="48" t="inlineStr">
        <is>
          <t>15</t>
        </is>
      </c>
      <c r="D16" s="48" t="inlineStr">
        <is>
          <t>15</t>
        </is>
      </c>
      <c r="E16" s="49" t="inlineStr">
        <is>
          <t>EKF_CONV</t>
        </is>
      </c>
      <c r="F16" s="66" t="inlineStr">
        <is>
          <t>RO</t>
        </is>
      </c>
      <c r="G16" s="51" t="inlineStr">
        <is>
          <t>1=EKF converged (covariance below threshold).</t>
        </is>
      </c>
    </row>
    <row r="17" ht="32" customHeight="1">
      <c r="A17" s="52" t="inlineStr">
        <is>
          <t>0x0004</t>
        </is>
      </c>
      <c r="B17" s="53" t="inlineStr">
        <is>
          <t>CS_STATUS</t>
        </is>
      </c>
      <c r="C17" s="54" t="inlineStr">
        <is>
          <t>14</t>
        </is>
      </c>
      <c r="D17" s="54" t="inlineStr">
        <is>
          <t>14</t>
        </is>
      </c>
      <c r="E17" s="55" t="inlineStr">
        <is>
          <t>ESTOP_ACTIVE</t>
        </is>
      </c>
      <c r="F17" s="67" t="inlineStr">
        <is>
          <t>RO</t>
        </is>
      </c>
      <c r="G17" s="57" t="inlineStr">
        <is>
          <t>1=Fleet E-STOP currently asserted.</t>
        </is>
      </c>
    </row>
    <row r="18" ht="32" customHeight="1">
      <c r="A18" s="58" t="inlineStr">
        <is>
          <t>0x0004</t>
        </is>
      </c>
      <c r="B18" s="59" t="inlineStr">
        <is>
          <t>CS_STATUS</t>
        </is>
      </c>
      <c r="C18" s="60" t="inlineStr">
        <is>
          <t>13</t>
        </is>
      </c>
      <c r="D18" s="60" t="inlineStr">
        <is>
          <t>13</t>
        </is>
      </c>
      <c r="E18" s="16" t="inlineStr">
        <is>
          <t>SAT_OVF</t>
        </is>
      </c>
      <c r="F18" s="68" t="inlineStr">
        <is>
          <t>RO</t>
        </is>
      </c>
      <c r="G18" s="20" t="inlineStr">
        <is>
          <t>1=At least one control axis saturated this cycle.</t>
        </is>
      </c>
    </row>
    <row r="19" ht="32" customHeight="1">
      <c r="A19" s="69" t="inlineStr">
        <is>
          <t>0x0004</t>
        </is>
      </c>
      <c r="B19" s="70" t="inlineStr">
        <is>
          <t>CS_STATUS</t>
        </is>
      </c>
      <c r="C19" s="71" t="inlineStr">
        <is>
          <t>12</t>
        </is>
      </c>
      <c r="D19" s="71" t="inlineStr">
        <is>
          <t>12</t>
        </is>
      </c>
      <c r="E19" s="11" t="inlineStr">
        <is>
          <t>IMU_LOCK</t>
        </is>
      </c>
      <c r="F19" s="12" t="inlineStr">
        <is>
          <t>RO</t>
        </is>
      </c>
      <c r="G19" s="15" t="inlineStr">
        <is>
          <t>1=IMU SPI healthy (refreshed at 100 Hz).</t>
        </is>
      </c>
    </row>
    <row r="20" ht="32" customHeight="1">
      <c r="A20" s="5" t="inlineStr">
        <is>
          <t>0x0004</t>
        </is>
      </c>
      <c r="B20" s="25" t="inlineStr">
        <is>
          <t>CS_STATUS</t>
        </is>
      </c>
      <c r="C20" s="26" t="inlineStr">
        <is>
          <t>11</t>
        </is>
      </c>
      <c r="D20" s="26" t="inlineStr">
        <is>
          <t>11</t>
        </is>
      </c>
      <c r="E20" s="27" t="inlineStr">
        <is>
          <t>MAG_LOCK</t>
        </is>
      </c>
      <c r="F20" s="62" t="inlineStr">
        <is>
          <t>RO</t>
        </is>
      </c>
      <c r="G20" s="29" t="inlineStr">
        <is>
          <t>1=Magnetometer I2C healthy.</t>
        </is>
      </c>
    </row>
    <row r="21" ht="32" customHeight="1">
      <c r="A21" s="30" t="inlineStr">
        <is>
          <t>0x0004</t>
        </is>
      </c>
      <c r="B21" s="31" t="inlineStr">
        <is>
          <t>CS_STATUS</t>
        </is>
      </c>
      <c r="C21" s="32" t="inlineStr">
        <is>
          <t>10</t>
        </is>
      </c>
      <c r="D21" s="32" t="inlineStr">
        <is>
          <t>10</t>
        </is>
      </c>
      <c r="E21" s="33" t="inlineStr">
        <is>
          <t>LASER_TRACK</t>
        </is>
      </c>
      <c r="F21" s="63" t="inlineStr">
        <is>
          <t>RO</t>
        </is>
      </c>
      <c r="G21" s="35" t="inlineStr">
        <is>
          <t>1=Laser in TRACK state (error &lt; 0.05 RMS).</t>
        </is>
      </c>
    </row>
    <row r="22" ht="32" customHeight="1">
      <c r="A22" s="24" t="inlineStr">
        <is>
          <t>0x0004</t>
        </is>
      </c>
      <c r="B22" s="36" t="inlineStr">
        <is>
          <t>CS_STATUS</t>
        </is>
      </c>
      <c r="C22" s="37" t="inlineStr">
        <is>
          <t>9</t>
        </is>
      </c>
      <c r="D22" s="37" t="inlineStr">
        <is>
          <t>9</t>
        </is>
      </c>
      <c r="E22" s="38" t="inlineStr">
        <is>
          <t>LASER_COMM</t>
        </is>
      </c>
      <c r="F22" s="64" t="inlineStr">
        <is>
          <t>RO</t>
        </is>
      </c>
      <c r="G22" s="40" t="inlineStr">
        <is>
          <t>1=Laser in COMM state (optical link active).</t>
        </is>
      </c>
    </row>
    <row r="23" ht="32" customHeight="1">
      <c r="A23" s="41" t="inlineStr">
        <is>
          <t>0x0004</t>
        </is>
      </c>
      <c r="B23" s="42" t="inlineStr">
        <is>
          <t>CS_STATUS</t>
        </is>
      </c>
      <c r="C23" s="43" t="inlineStr">
        <is>
          <t>8</t>
        </is>
      </c>
      <c r="D23" s="43" t="inlineStr">
        <is>
          <t>8</t>
        </is>
      </c>
      <c r="E23" s="44" t="inlineStr">
        <is>
          <t>ORBIT_VALID</t>
        </is>
      </c>
      <c r="F23" s="65" t="inlineStr">
        <is>
          <t>RO</t>
        </is>
      </c>
      <c r="G23" s="46" t="inlineStr">
        <is>
          <t>1=SGP4 orbit solution valid (TLE loaded, epoch &lt; 7 days).</t>
        </is>
      </c>
    </row>
    <row r="24" ht="32" customHeight="1">
      <c r="A24" s="22" t="inlineStr">
        <is>
          <t>0x0004</t>
        </is>
      </c>
      <c r="B24" s="47" t="inlineStr">
        <is>
          <t>CS_STATUS</t>
        </is>
      </c>
      <c r="C24" s="48" t="inlineStr">
        <is>
          <t>7</t>
        </is>
      </c>
      <c r="D24" s="48" t="inlineStr">
        <is>
          <t>4</t>
        </is>
      </c>
      <c r="E24" s="49" t="inlineStr">
        <is>
          <t>RESERVED2</t>
        </is>
      </c>
      <c r="F24" s="66" t="inlineStr">
        <is>
          <t>RO</t>
        </is>
      </c>
      <c r="G24" s="51" t="inlineStr">
        <is>
          <t>Reserved.</t>
        </is>
      </c>
    </row>
    <row r="25" ht="32" customHeight="1">
      <c r="A25" s="52" t="inlineStr">
        <is>
          <t>0x0004</t>
        </is>
      </c>
      <c r="B25" s="53" t="inlineStr">
        <is>
          <t>CS_STATUS</t>
        </is>
      </c>
      <c r="C25" s="54" t="inlineStr">
        <is>
          <t>3</t>
        </is>
      </c>
      <c r="D25" s="54" t="inlineStr">
        <is>
          <t>0</t>
        </is>
      </c>
      <c r="E25" s="55" t="inlineStr">
        <is>
          <t>WDT_COUNT</t>
        </is>
      </c>
      <c r="F25" s="67" t="inlineStr">
        <is>
          <t>RO</t>
        </is>
      </c>
      <c r="G25" s="57" t="inlineStr">
        <is>
          <t>Watchdog kick count modulo 16.</t>
        </is>
      </c>
    </row>
    <row r="26" ht="32" customHeight="1">
      <c r="A26" s="5" t="inlineStr">
        <is>
          <t>0x0008</t>
        </is>
      </c>
      <c r="B26" s="25" t="inlineStr">
        <is>
          <t>EKF_Q_QUAT</t>
        </is>
      </c>
      <c r="C26" s="26" t="inlineStr">
        <is>
          <t>31</t>
        </is>
      </c>
      <c r="D26" s="26" t="inlineStr">
        <is>
          <t>0</t>
        </is>
      </c>
      <c r="E26" s="27" t="inlineStr">
        <is>
          <t>Q_QUAT</t>
        </is>
      </c>
      <c r="F26" s="28" t="inlineStr">
        <is>
          <t>RW</t>
        </is>
      </c>
      <c r="G26" s="29" t="inlineStr">
        <is>
          <t>Quaternion process noise Q4.28. 0.01 × 2^28 = 0x00A3D70A.</t>
        </is>
      </c>
    </row>
    <row r="27" ht="32" customHeight="1">
      <c r="A27" s="5" t="inlineStr">
        <is>
          <t>0x000C</t>
        </is>
      </c>
      <c r="B27" s="25" t="inlineStr">
        <is>
          <t>EKF_Q_BIAS</t>
        </is>
      </c>
      <c r="C27" s="26" t="inlineStr">
        <is>
          <t>31</t>
        </is>
      </c>
      <c r="D27" s="26" t="inlineStr">
        <is>
          <t>0</t>
        </is>
      </c>
      <c r="E27" s="27" t="inlineStr">
        <is>
          <t>Q_BIAS</t>
        </is>
      </c>
      <c r="F27" s="28" t="inlineStr">
        <is>
          <t>RW</t>
        </is>
      </c>
      <c r="G27" s="29" t="inlineStr">
        <is>
          <t>Gyro bias noise Q4.28. 0.001 × 2^28 = 0x000010C7.</t>
        </is>
      </c>
    </row>
    <row r="28" ht="32" customHeight="1">
      <c r="A28" s="5" t="inlineStr">
        <is>
          <t>0x0010</t>
        </is>
      </c>
      <c r="B28" s="25" t="inlineStr">
        <is>
          <t>EKF_R_GYRO</t>
        </is>
      </c>
      <c r="C28" s="26" t="inlineStr">
        <is>
          <t>31</t>
        </is>
      </c>
      <c r="D28" s="26" t="inlineStr">
        <is>
          <t>0</t>
        </is>
      </c>
      <c r="E28" s="27" t="inlineStr">
        <is>
          <t>R_GYRO</t>
        </is>
      </c>
      <c r="F28" s="28" t="inlineStr">
        <is>
          <t>RW</t>
        </is>
      </c>
      <c r="G28" s="29" t="inlineStr">
        <is>
          <t>Gyro noise variance Q4.28.</t>
        </is>
      </c>
    </row>
    <row r="29" ht="32" customHeight="1">
      <c r="A29" s="5" t="inlineStr">
        <is>
          <t>0x0014</t>
        </is>
      </c>
      <c r="B29" s="25" t="inlineStr">
        <is>
          <t>EKF_R_MAG</t>
        </is>
      </c>
      <c r="C29" s="26" t="inlineStr">
        <is>
          <t>31</t>
        </is>
      </c>
      <c r="D29" s="26" t="inlineStr">
        <is>
          <t>0</t>
        </is>
      </c>
      <c r="E29" s="27" t="inlineStr">
        <is>
          <t>R_MAG</t>
        </is>
      </c>
      <c r="F29" s="28" t="inlineStr">
        <is>
          <t>RW</t>
        </is>
      </c>
      <c r="G29" s="29" t="inlineStr">
        <is>
          <t>Magnetometer noise Q1.30.</t>
        </is>
      </c>
    </row>
    <row r="30" ht="32" customHeight="1">
      <c r="A30" s="5" t="inlineStr">
        <is>
          <t>0x0018</t>
        </is>
      </c>
      <c r="B30" s="25" t="inlineStr">
        <is>
          <t>ADCS_KP</t>
        </is>
      </c>
      <c r="C30" s="26" t="inlineStr">
        <is>
          <t>31</t>
        </is>
      </c>
      <c r="D30" s="26" t="inlineStr">
        <is>
          <t>16</t>
        </is>
      </c>
      <c r="E30" s="27" t="inlineStr">
        <is>
          <t>RESERVED</t>
        </is>
      </c>
      <c r="F30" s="28" t="inlineStr">
        <is>
          <t>RW</t>
        </is>
      </c>
      <c r="G30" s="29" t="inlineStr">
        <is>
          <t>Reserved.</t>
        </is>
      </c>
    </row>
    <row r="31" ht="32" customHeight="1">
      <c r="A31" s="30" t="inlineStr">
        <is>
          <t>0x0018</t>
        </is>
      </c>
      <c r="B31" s="31" t="inlineStr">
        <is>
          <t>ADCS_KP</t>
        </is>
      </c>
      <c r="C31" s="32" t="inlineStr">
        <is>
          <t>15</t>
        </is>
      </c>
      <c r="D31" s="32" t="inlineStr">
        <is>
          <t>0</t>
        </is>
      </c>
      <c r="E31" s="33" t="inlineStr">
        <is>
          <t>KP</t>
        </is>
      </c>
      <c r="F31" s="34" t="inlineStr">
        <is>
          <t>RW</t>
        </is>
      </c>
      <c r="G31" s="35" t="inlineStr">
        <is>
          <t>Kp Q4.12. Range [0, 15.999].</t>
        </is>
      </c>
    </row>
    <row r="32" ht="32" customHeight="1">
      <c r="A32" s="5" t="inlineStr">
        <is>
          <t>0x001C</t>
        </is>
      </c>
      <c r="B32" s="25" t="inlineStr">
        <is>
          <t>ADCS_KD</t>
        </is>
      </c>
      <c r="C32" s="26" t="inlineStr">
        <is>
          <t>31</t>
        </is>
      </c>
      <c r="D32" s="26" t="inlineStr">
        <is>
          <t>16</t>
        </is>
      </c>
      <c r="E32" s="27" t="inlineStr">
        <is>
          <t>RESERVED</t>
        </is>
      </c>
      <c r="F32" s="28" t="inlineStr">
        <is>
          <t>RW</t>
        </is>
      </c>
      <c r="G32" s="29" t="inlineStr">
        <is>
          <t>Reserved.</t>
        </is>
      </c>
    </row>
    <row r="33" ht="32" customHeight="1">
      <c r="A33" s="30" t="inlineStr">
        <is>
          <t>0x001C</t>
        </is>
      </c>
      <c r="B33" s="31" t="inlineStr">
        <is>
          <t>ADCS_KD</t>
        </is>
      </c>
      <c r="C33" s="32" t="inlineStr">
        <is>
          <t>15</t>
        </is>
      </c>
      <c r="D33" s="32" t="inlineStr">
        <is>
          <t>0</t>
        </is>
      </c>
      <c r="E33" s="33" t="inlineStr">
        <is>
          <t>KD</t>
        </is>
      </c>
      <c r="F33" s="34" t="inlineStr">
        <is>
          <t>RW</t>
        </is>
      </c>
      <c r="G33" s="35" t="inlineStr">
        <is>
          <t>Kd Q4.12.</t>
        </is>
      </c>
    </row>
    <row r="34" ht="32" customHeight="1">
      <c r="A34" s="5" t="inlineStr">
        <is>
          <t>0x0020</t>
        </is>
      </c>
      <c r="B34" s="25" t="inlineStr">
        <is>
          <t>ADCS_KI</t>
        </is>
      </c>
      <c r="C34" s="26" t="inlineStr">
        <is>
          <t>31</t>
        </is>
      </c>
      <c r="D34" s="26" t="inlineStr">
        <is>
          <t>16</t>
        </is>
      </c>
      <c r="E34" s="27" t="inlineStr">
        <is>
          <t>RESERVED</t>
        </is>
      </c>
      <c r="F34" s="28" t="inlineStr">
        <is>
          <t>RW</t>
        </is>
      </c>
      <c r="G34" s="29" t="inlineStr">
        <is>
          <t>Reserved.</t>
        </is>
      </c>
    </row>
    <row r="35" ht="32" customHeight="1">
      <c r="A35" s="30" t="inlineStr">
        <is>
          <t>0x0020</t>
        </is>
      </c>
      <c r="B35" s="31" t="inlineStr">
        <is>
          <t>ADCS_KI</t>
        </is>
      </c>
      <c r="C35" s="32" t="inlineStr">
        <is>
          <t>15</t>
        </is>
      </c>
      <c r="D35" s="32" t="inlineStr">
        <is>
          <t>0</t>
        </is>
      </c>
      <c r="E35" s="33" t="inlineStr">
        <is>
          <t>KI</t>
        </is>
      </c>
      <c r="F35" s="34" t="inlineStr">
        <is>
          <t>RW</t>
        </is>
      </c>
      <c r="G35" s="35" t="inlineStr">
        <is>
          <t>Ki Q4.12. Set 0 to disable integration.</t>
        </is>
      </c>
    </row>
    <row r="36" ht="32" customHeight="1">
      <c r="A36" s="5" t="inlineStr">
        <is>
          <t>0x0024</t>
        </is>
      </c>
      <c r="B36" s="25" t="inlineStr">
        <is>
          <t>ADCS_SAT</t>
        </is>
      </c>
      <c r="C36" s="26" t="inlineStr">
        <is>
          <t>31</t>
        </is>
      </c>
      <c r="D36" s="26" t="inlineStr">
        <is>
          <t>16</t>
        </is>
      </c>
      <c r="E36" s="27" t="inlineStr">
        <is>
          <t>SAT_MAX</t>
        </is>
      </c>
      <c r="F36" s="28" t="inlineStr">
        <is>
          <t>RW</t>
        </is>
      </c>
      <c r="G36" s="29" t="inlineStr">
        <is>
          <t>Upper saturation Q1.15. Default 0x7FFF = +0.9999.</t>
        </is>
      </c>
    </row>
    <row r="37" ht="32" customHeight="1">
      <c r="A37" s="30" t="inlineStr">
        <is>
          <t>0x0024</t>
        </is>
      </c>
      <c r="B37" s="31" t="inlineStr">
        <is>
          <t>ADCS_SAT</t>
        </is>
      </c>
      <c r="C37" s="32" t="inlineStr">
        <is>
          <t>15</t>
        </is>
      </c>
      <c r="D37" s="32" t="inlineStr">
        <is>
          <t>0</t>
        </is>
      </c>
      <c r="E37" s="33" t="inlineStr">
        <is>
          <t>SAT_MIN</t>
        </is>
      </c>
      <c r="F37" s="34" t="inlineStr">
        <is>
          <t>RW</t>
        </is>
      </c>
      <c r="G37" s="35" t="inlineStr">
        <is>
          <t>Lower saturation Q1.15. Default 0x8001 = -0.9999.</t>
        </is>
      </c>
    </row>
    <row r="38" ht="32" customHeight="1">
      <c r="A38" s="5" t="inlineStr">
        <is>
          <t>0x0028</t>
        </is>
      </c>
      <c r="B38" s="25" t="inlineStr">
        <is>
          <t>RW_SPEED_LIM</t>
        </is>
      </c>
      <c r="C38" s="26" t="inlineStr">
        <is>
          <t>31</t>
        </is>
      </c>
      <c r="D38" s="26" t="inlineStr">
        <is>
          <t>16</t>
        </is>
      </c>
      <c r="E38" s="27" t="inlineStr">
        <is>
          <t>RESERVED</t>
        </is>
      </c>
      <c r="F38" s="28" t="inlineStr">
        <is>
          <t>RW</t>
        </is>
      </c>
      <c r="G38" s="29" t="inlineStr">
        <is>
          <t>Reserved.</t>
        </is>
      </c>
    </row>
    <row r="39" ht="32" customHeight="1">
      <c r="A39" s="30" t="inlineStr">
        <is>
          <t>0x0028</t>
        </is>
      </c>
      <c r="B39" s="31" t="inlineStr">
        <is>
          <t>RW_SPEED_LIM</t>
        </is>
      </c>
      <c r="C39" s="32" t="inlineStr">
        <is>
          <t>15</t>
        </is>
      </c>
      <c r="D39" s="32" t="inlineStr">
        <is>
          <t>0</t>
        </is>
      </c>
      <c r="E39" s="33" t="inlineStr">
        <is>
          <t>RW_MAX</t>
        </is>
      </c>
      <c r="F39" s="34" t="inlineStr">
        <is>
          <t>RW</t>
        </is>
      </c>
      <c r="G39" s="35" t="inlineStr">
        <is>
          <t>RW max speed Q4.12. Default 0x3FFF ≈ 4.0.</t>
        </is>
      </c>
    </row>
    <row r="40" ht="32" customHeight="1">
      <c r="A40" s="5" t="inlineStr">
        <is>
          <t>0x002C</t>
        </is>
      </c>
      <c r="B40" s="25" t="inlineStr">
        <is>
          <t>MTQ_SCALE</t>
        </is>
      </c>
      <c r="C40" s="26" t="inlineStr">
        <is>
          <t>31</t>
        </is>
      </c>
      <c r="D40" s="26" t="inlineStr">
        <is>
          <t>16</t>
        </is>
      </c>
      <c r="E40" s="27" t="inlineStr">
        <is>
          <t>RESERVED</t>
        </is>
      </c>
      <c r="F40" s="28" t="inlineStr">
        <is>
          <t>RW</t>
        </is>
      </c>
      <c r="G40" s="29" t="inlineStr">
        <is>
          <t>Reserved.</t>
        </is>
      </c>
    </row>
    <row r="41" ht="32" customHeight="1">
      <c r="A41" s="30" t="inlineStr">
        <is>
          <t>0x002C</t>
        </is>
      </c>
      <c r="B41" s="31" t="inlineStr">
        <is>
          <t>MTQ_SCALE</t>
        </is>
      </c>
      <c r="C41" s="32" t="inlineStr">
        <is>
          <t>15</t>
        </is>
      </c>
      <c r="D41" s="32" t="inlineStr">
        <is>
          <t>0</t>
        </is>
      </c>
      <c r="E41" s="33" t="inlineStr">
        <is>
          <t>MTQ_SCALE</t>
        </is>
      </c>
      <c r="F41" s="34" t="inlineStr">
        <is>
          <t>RW</t>
        </is>
      </c>
      <c r="G41" s="35" t="inlineStr">
        <is>
          <t>Scale Q4.12.</t>
        </is>
      </c>
    </row>
    <row r="42" ht="32" customHeight="1">
      <c r="A42" s="5" t="inlineStr">
        <is>
          <t>0x0030</t>
        </is>
      </c>
      <c r="B42" s="25" t="inlineStr">
        <is>
          <t>LASER_RANGE</t>
        </is>
      </c>
      <c r="C42" s="26" t="inlineStr">
        <is>
          <t>31</t>
        </is>
      </c>
      <c r="D42" s="26" t="inlineStr">
        <is>
          <t>16</t>
        </is>
      </c>
      <c r="E42" s="27" t="inlineStr">
        <is>
          <t>AZ_HALF_DEG100</t>
        </is>
      </c>
      <c r="F42" s="28" t="inlineStr">
        <is>
          <t>RW</t>
        </is>
      </c>
      <c r="G42" s="29" t="inlineStr">
        <is>
          <t>Azimuth half-range ×0.01 degrees. Default 0x00A0 = 160 = ±10.00°.</t>
        </is>
      </c>
    </row>
    <row r="43" ht="32" customHeight="1">
      <c r="A43" s="30" t="inlineStr">
        <is>
          <t>0x0030</t>
        </is>
      </c>
      <c r="B43" s="31" t="inlineStr">
        <is>
          <t>LASER_RANGE</t>
        </is>
      </c>
      <c r="C43" s="32" t="inlineStr">
        <is>
          <t>15</t>
        </is>
      </c>
      <c r="D43" s="32" t="inlineStr">
        <is>
          <t>0</t>
        </is>
      </c>
      <c r="E43" s="33" t="inlineStr">
        <is>
          <t>EL_HALF_DEG100</t>
        </is>
      </c>
      <c r="F43" s="34" t="inlineStr">
        <is>
          <t>RW</t>
        </is>
      </c>
      <c r="G43" s="35" t="inlineStr">
        <is>
          <t>Elevation half-range ×0.01 degrees. Default 0x0050 = 80 = ±5.00°.</t>
        </is>
      </c>
    </row>
    <row r="44" ht="32" customHeight="1">
      <c r="A44" s="5" t="inlineStr">
        <is>
          <t>0x0034</t>
        </is>
      </c>
      <c r="B44" s="25" t="inlineStr">
        <is>
          <t>LASER_THRESH</t>
        </is>
      </c>
      <c r="C44" s="26" t="inlineStr">
        <is>
          <t>31</t>
        </is>
      </c>
      <c r="D44" s="26" t="inlineStr">
        <is>
          <t>16</t>
        </is>
      </c>
      <c r="E44" s="27" t="inlineStr">
        <is>
          <t>TRACK_THRESH</t>
        </is>
      </c>
      <c r="F44" s="28" t="inlineStr">
        <is>
          <t>RW</t>
        </is>
      </c>
      <c r="G44" s="29" t="inlineStr">
        <is>
          <t>12-bit ADC threshold for TRACK state. Upper 16-bit field.</t>
        </is>
      </c>
    </row>
    <row r="45" ht="32" customHeight="1">
      <c r="A45" s="30" t="inlineStr">
        <is>
          <t>0x0034</t>
        </is>
      </c>
      <c r="B45" s="31" t="inlineStr">
        <is>
          <t>LASER_THRESH</t>
        </is>
      </c>
      <c r="C45" s="32" t="inlineStr">
        <is>
          <t>15</t>
        </is>
      </c>
      <c r="D45" s="32" t="inlineStr">
        <is>
          <t>0</t>
        </is>
      </c>
      <c r="E45" s="33" t="inlineStr">
        <is>
          <t>ACQ_THRESH</t>
        </is>
      </c>
      <c r="F45" s="34" t="inlineStr">
        <is>
          <t>RW</t>
        </is>
      </c>
      <c r="G45" s="35" t="inlineStr">
        <is>
          <t>12-bit ADC threshold for ACQUIRE→TRACK.</t>
        </is>
      </c>
    </row>
    <row r="46" ht="32" customHeight="1">
      <c r="A46" s="5" t="inlineStr">
        <is>
          <t>0x0038</t>
        </is>
      </c>
      <c r="B46" s="25" t="inlineStr">
        <is>
          <t>LASER_STEP_RATE</t>
        </is>
      </c>
      <c r="C46" s="26" t="inlineStr">
        <is>
          <t>31</t>
        </is>
      </c>
      <c r="D46" s="26" t="inlineStr">
        <is>
          <t>16</t>
        </is>
      </c>
      <c r="E46" s="27" t="inlineStr">
        <is>
          <t>AZ_RATE</t>
        </is>
      </c>
      <c r="F46" s="28" t="inlineStr">
        <is>
          <t>RW</t>
        </is>
      </c>
      <c r="G46" s="29" t="inlineStr">
        <is>
          <t>Azimuth max step rate. Default 0x1388 = 5000 steps/s.</t>
        </is>
      </c>
    </row>
    <row r="47" ht="32" customHeight="1">
      <c r="A47" s="30" t="inlineStr">
        <is>
          <t>0x0038</t>
        </is>
      </c>
      <c r="B47" s="31" t="inlineStr">
        <is>
          <t>LASER_STEP_RATE</t>
        </is>
      </c>
      <c r="C47" s="32" t="inlineStr">
        <is>
          <t>15</t>
        </is>
      </c>
      <c r="D47" s="32" t="inlineStr">
        <is>
          <t>0</t>
        </is>
      </c>
      <c r="E47" s="33" t="inlineStr">
        <is>
          <t>EL_RATE</t>
        </is>
      </c>
      <c r="F47" s="34" t="inlineStr">
        <is>
          <t>RW</t>
        </is>
      </c>
      <c r="G47" s="35" t="inlineStr">
        <is>
          <t>Elevation max step rate. Default 0x1388 = 5000 steps/s.</t>
        </is>
      </c>
    </row>
    <row r="48" ht="32" customHeight="1">
      <c r="A48" s="5" t="inlineStr">
        <is>
          <t>0x003C</t>
        </is>
      </c>
      <c r="B48" s="25" t="inlineStr">
        <is>
          <t>TLE_EPOCH_HI</t>
        </is>
      </c>
      <c r="C48" s="26" t="inlineStr">
        <is>
          <t>31</t>
        </is>
      </c>
      <c r="D48" s="26" t="inlineStr">
        <is>
          <t>0</t>
        </is>
      </c>
      <c r="E48" s="27" t="inlineStr">
        <is>
          <t>EPOCH_HI</t>
        </is>
      </c>
      <c r="F48" s="28" t="inlineStr">
        <is>
          <t>RW</t>
        </is>
      </c>
      <c r="G48" s="29" t="inlineStr">
        <is>
          <t>Upper 32 bits of epoch double. Write both halves to trigger SGP4 re-init.</t>
        </is>
      </c>
    </row>
    <row r="49" ht="32" customHeight="1">
      <c r="A49" s="5" t="inlineStr">
        <is>
          <t>0x0040</t>
        </is>
      </c>
      <c r="B49" s="25" t="inlineStr">
        <is>
          <t>TLE_EPOCH_LO</t>
        </is>
      </c>
      <c r="C49" s="26" t="inlineStr">
        <is>
          <t>31</t>
        </is>
      </c>
      <c r="D49" s="26" t="inlineStr">
        <is>
          <t>0</t>
        </is>
      </c>
      <c r="E49" s="27" t="inlineStr">
        <is>
          <t>EPOCH_LO</t>
        </is>
      </c>
      <c r="F49" s="28" t="inlineStr">
        <is>
          <t>RW</t>
        </is>
      </c>
      <c r="G49" s="29" t="inlineStr">
        <is>
          <t>Lower 32 bits of epoch double.</t>
        </is>
      </c>
    </row>
    <row r="50" ht="32" customHeight="1">
      <c r="A50" s="5" t="inlineStr">
        <is>
          <t>0x0044</t>
        </is>
      </c>
      <c r="B50" s="25" t="inlineStr">
        <is>
          <t>TLE_INCL</t>
        </is>
      </c>
      <c r="C50" s="26" t="inlineStr">
        <is>
          <t>31</t>
        </is>
      </c>
      <c r="D50" s="26" t="inlineStr">
        <is>
          <t>0</t>
        </is>
      </c>
      <c r="E50" s="27" t="inlineStr">
        <is>
          <t>INCL_DEG</t>
        </is>
      </c>
      <c r="F50" s="28" t="inlineStr">
        <is>
          <t>RW</t>
        </is>
      </c>
      <c r="G50" s="29" t="inlineStr">
        <is>
          <t>Inclination degrees Q10.22. Also loads other TLE elements via BRAM write sequence.</t>
        </is>
      </c>
    </row>
    <row r="51" ht="32" customHeight="1">
      <c r="A51" s="5" t="inlineStr">
        <is>
          <t>0x0048</t>
        </is>
      </c>
      <c r="B51" s="25" t="inlineStr">
        <is>
          <t>TLM_PERIOD</t>
        </is>
      </c>
      <c r="C51" s="26" t="inlineStr">
        <is>
          <t>31</t>
        </is>
      </c>
      <c r="D51" s="26" t="inlineStr">
        <is>
          <t>8</t>
        </is>
      </c>
      <c r="E51" s="27" t="inlineStr">
        <is>
          <t>RESERVED</t>
        </is>
      </c>
      <c r="F51" s="28" t="inlineStr">
        <is>
          <t>RW</t>
        </is>
      </c>
      <c r="G51" s="29" t="inlineStr">
        <is>
          <t>Reserved.</t>
        </is>
      </c>
    </row>
    <row r="52" ht="32" customHeight="1">
      <c r="A52" s="30" t="inlineStr">
        <is>
          <t>0x0048</t>
        </is>
      </c>
      <c r="B52" s="31" t="inlineStr">
        <is>
          <t>TLM_PERIOD</t>
        </is>
      </c>
      <c r="C52" s="32" t="inlineStr">
        <is>
          <t>7</t>
        </is>
      </c>
      <c r="D52" s="32" t="inlineStr">
        <is>
          <t>0</t>
        </is>
      </c>
      <c r="E52" s="33" t="inlineStr">
        <is>
          <t>PERIOD_S</t>
        </is>
      </c>
      <c r="F52" s="34" t="inlineStr">
        <is>
          <t>RW</t>
        </is>
      </c>
      <c r="G52" s="35" t="inlineStr">
        <is>
          <t>Period 1–255 seconds. Default 1.</t>
        </is>
      </c>
    </row>
    <row r="53" ht="32" customHeight="1">
      <c r="A53" s="5" t="inlineStr">
        <is>
          <t>0x004C</t>
        </is>
      </c>
      <c r="B53" s="25" t="inlineStr">
        <is>
          <t>TLM_ENABLE</t>
        </is>
      </c>
      <c r="C53" s="26" t="inlineStr">
        <is>
          <t>31</t>
        </is>
      </c>
      <c r="D53" s="26" t="inlineStr">
        <is>
          <t>3</t>
        </is>
      </c>
      <c r="E53" s="27" t="inlineStr">
        <is>
          <t>RESERVED</t>
        </is>
      </c>
      <c r="F53" s="28" t="inlineStr">
        <is>
          <t>RW</t>
        </is>
      </c>
      <c r="G53" s="29" t="inlineStr">
        <is>
          <t>Reserved.</t>
        </is>
      </c>
    </row>
    <row r="54" ht="32" customHeight="1">
      <c r="A54" s="30" t="inlineStr">
        <is>
          <t>0x004C</t>
        </is>
      </c>
      <c r="B54" s="31" t="inlineStr">
        <is>
          <t>TLM_ENABLE</t>
        </is>
      </c>
      <c r="C54" s="32" t="inlineStr">
        <is>
          <t>2</t>
        </is>
      </c>
      <c r="D54" s="32" t="inlineStr">
        <is>
          <t>2</t>
        </is>
      </c>
      <c r="E54" s="33" t="inlineStr">
        <is>
          <t>LASER_EN</t>
        </is>
      </c>
      <c r="F54" s="34" t="inlineStr">
        <is>
          <t>RW</t>
        </is>
      </c>
      <c r="G54" s="35" t="inlineStr">
        <is>
          <t>1=Enable laser telemetry (APID 0x103).</t>
        </is>
      </c>
    </row>
    <row r="55" ht="32" customHeight="1">
      <c r="A55" s="24" t="inlineStr">
        <is>
          <t>0x004C</t>
        </is>
      </c>
      <c r="B55" s="36" t="inlineStr">
        <is>
          <t>TLM_ENABLE</t>
        </is>
      </c>
      <c r="C55" s="37" t="inlineStr">
        <is>
          <t>1</t>
        </is>
      </c>
      <c r="D55" s="37" t="inlineStr">
        <is>
          <t>1</t>
        </is>
      </c>
      <c r="E55" s="38" t="inlineStr">
        <is>
          <t>ORBIT_EN</t>
        </is>
      </c>
      <c r="F55" s="39" t="inlineStr">
        <is>
          <t>RW</t>
        </is>
      </c>
      <c r="G55" s="40" t="inlineStr">
        <is>
          <t>1=Enable orbit telemetry (APID 0x102).</t>
        </is>
      </c>
    </row>
    <row r="56" ht="32" customHeight="1">
      <c r="A56" s="41" t="inlineStr">
        <is>
          <t>0x004C</t>
        </is>
      </c>
      <c r="B56" s="42" t="inlineStr">
        <is>
          <t>TLM_ENABLE</t>
        </is>
      </c>
      <c r="C56" s="43" t="inlineStr">
        <is>
          <t>0</t>
        </is>
      </c>
      <c r="D56" s="43" t="inlineStr">
        <is>
          <t>0</t>
        </is>
      </c>
      <c r="E56" s="44" t="inlineStr">
        <is>
          <t>ADCS_EN</t>
        </is>
      </c>
      <c r="F56" s="45" t="inlineStr">
        <is>
          <t>RW</t>
        </is>
      </c>
      <c r="G56" s="46" t="inlineStr">
        <is>
          <t>1=Enable ADCS telemetry (APID 0x101).</t>
        </is>
      </c>
    </row>
    <row r="57" ht="32" customHeight="1">
      <c r="A57" s="5" t="inlineStr">
        <is>
          <t>0x0050</t>
        </is>
      </c>
      <c r="B57" s="25" t="inlineStr">
        <is>
          <t>DBG_IMU_CNT</t>
        </is>
      </c>
      <c r="C57" s="26" t="inlineStr">
        <is>
          <t>31</t>
        </is>
      </c>
      <c r="D57" s="26" t="inlineStr">
        <is>
          <t>0</t>
        </is>
      </c>
      <c r="E57" s="27" t="inlineStr">
        <is>
          <t>IMU_CNT</t>
        </is>
      </c>
      <c r="F57" s="62" t="inlineStr">
        <is>
          <t>RO</t>
        </is>
      </c>
      <c r="G57" s="29" t="inlineStr">
        <is>
          <t>Running count of valid IMU SPI frames. Wraps at 2^32.</t>
        </is>
      </c>
    </row>
    <row r="58" ht="32" customHeight="1">
      <c r="A58" s="5" t="inlineStr">
        <is>
          <t>0x0054</t>
        </is>
      </c>
      <c r="B58" s="25" t="inlineStr">
        <is>
          <t>DBG_EKF_CNT</t>
        </is>
      </c>
      <c r="C58" s="26" t="inlineStr">
        <is>
          <t>31</t>
        </is>
      </c>
      <c r="D58" s="26" t="inlineStr">
        <is>
          <t>0</t>
        </is>
      </c>
      <c r="E58" s="27" t="inlineStr">
        <is>
          <t>EKF_CNT</t>
        </is>
      </c>
      <c r="F58" s="62" t="inlineStr">
        <is>
          <t>RO</t>
        </is>
      </c>
      <c r="G58" s="29" t="inlineStr">
        <is>
          <t>EKF predict steps since subsystem reset.</t>
        </is>
      </c>
    </row>
    <row r="59" ht="32" customHeight="1">
      <c r="A59" s="5" t="inlineStr">
        <is>
          <t>0x0058</t>
        </is>
      </c>
      <c r="B59" s="25" t="inlineStr">
        <is>
          <t>DBG_LASER_CNT</t>
        </is>
      </c>
      <c r="C59" s="26" t="inlineStr">
        <is>
          <t>31</t>
        </is>
      </c>
      <c r="D59" s="26" t="inlineStr">
        <is>
          <t>16</t>
        </is>
      </c>
      <c r="E59" s="27" t="inlineStr">
        <is>
          <t>ACQ_FAIL</t>
        </is>
      </c>
      <c r="F59" s="62" t="inlineStr">
        <is>
          <t>RO</t>
        </is>
      </c>
      <c r="G59" s="29" t="inlineStr">
        <is>
          <t>Failed acquisition attempts (SEARCH→ACQUIRE→SEARCH).</t>
        </is>
      </c>
    </row>
    <row r="60" ht="32" customHeight="1">
      <c r="A60" s="30" t="inlineStr">
        <is>
          <t>0x0058</t>
        </is>
      </c>
      <c r="B60" s="31" t="inlineStr">
        <is>
          <t>DBG_LASER_CNT</t>
        </is>
      </c>
      <c r="C60" s="32" t="inlineStr">
        <is>
          <t>15</t>
        </is>
      </c>
      <c r="D60" s="32" t="inlineStr">
        <is>
          <t>0</t>
        </is>
      </c>
      <c r="E60" s="33" t="inlineStr">
        <is>
          <t>ACQ_PASS</t>
        </is>
      </c>
      <c r="F60" s="63" t="inlineStr">
        <is>
          <t>RO</t>
        </is>
      </c>
      <c r="G60" s="35" t="inlineStr">
        <is>
          <t>Successful acquisitions (reached TRACK state).</t>
        </is>
      </c>
    </row>
    <row r="61" ht="32" customHeight="1">
      <c r="A61" s="5" t="inlineStr">
        <is>
          <t>0x005C</t>
        </is>
      </c>
      <c r="B61" s="25" t="inlineStr">
        <is>
          <t>DBG_FAULT_LOG</t>
        </is>
      </c>
      <c r="C61" s="26" t="inlineStr">
        <is>
          <t>31</t>
        </is>
      </c>
      <c r="D61" s="26" t="inlineStr">
        <is>
          <t>8</t>
        </is>
      </c>
      <c r="E61" s="27" t="inlineStr">
        <is>
          <t>RESERVED</t>
        </is>
      </c>
      <c r="F61" s="72" t="inlineStr">
        <is>
          <t>W1C</t>
        </is>
      </c>
      <c r="G61" s="29" t="inlineStr">
        <is>
          <t>Reserved.</t>
        </is>
      </c>
    </row>
    <row r="62" ht="32" customHeight="1">
      <c r="A62" s="30" t="inlineStr">
        <is>
          <t>0x005C</t>
        </is>
      </c>
      <c r="B62" s="31" t="inlineStr">
        <is>
          <t>DBG_FAULT_LOG</t>
        </is>
      </c>
      <c r="C62" s="32" t="inlineStr">
        <is>
          <t>7</t>
        </is>
      </c>
      <c r="D62" s="32" t="inlineStr">
        <is>
          <t>7</t>
        </is>
      </c>
      <c r="E62" s="33" t="inlineStr">
        <is>
          <t>EKF_DIVG</t>
        </is>
      </c>
      <c r="F62" s="73" t="inlineStr">
        <is>
          <t>W1C</t>
        </is>
      </c>
      <c r="G62" s="35" t="inlineStr">
        <is>
          <t>EKF covariance divergence detected.</t>
        </is>
      </c>
    </row>
    <row r="63" ht="32" customHeight="1">
      <c r="A63" s="24" t="inlineStr">
        <is>
          <t>0x005C</t>
        </is>
      </c>
      <c r="B63" s="36" t="inlineStr">
        <is>
          <t>DBG_FAULT_LOG</t>
        </is>
      </c>
      <c r="C63" s="37" t="inlineStr">
        <is>
          <t>6</t>
        </is>
      </c>
      <c r="D63" s="37" t="inlineStr">
        <is>
          <t>6</t>
        </is>
      </c>
      <c r="E63" s="38" t="inlineStr">
        <is>
          <t>RW_OVR</t>
        </is>
      </c>
      <c r="F63" s="74" t="inlineStr">
        <is>
          <t>W1C</t>
        </is>
      </c>
      <c r="G63" s="40" t="inlineStr">
        <is>
          <t>Reaction wheel speed over limit.</t>
        </is>
      </c>
    </row>
    <row r="64" ht="32" customHeight="1">
      <c r="A64" s="41" t="inlineStr">
        <is>
          <t>0x005C</t>
        </is>
      </c>
      <c r="B64" s="42" t="inlineStr">
        <is>
          <t>DBG_FAULT_LOG</t>
        </is>
      </c>
      <c r="C64" s="43" t="inlineStr">
        <is>
          <t>5</t>
        </is>
      </c>
      <c r="D64" s="43" t="inlineStr">
        <is>
          <t>5</t>
        </is>
      </c>
      <c r="E64" s="44" t="inlineStr">
        <is>
          <t>MAG_TMO</t>
        </is>
      </c>
      <c r="F64" s="75" t="inlineStr">
        <is>
          <t>W1C</t>
        </is>
      </c>
      <c r="G64" s="46" t="inlineStr">
        <is>
          <t>Magnetometer I2C timeout (&gt; 50 ms).</t>
        </is>
      </c>
    </row>
    <row r="65" ht="32" customHeight="1">
      <c r="A65" s="22" t="inlineStr">
        <is>
          <t>0x005C</t>
        </is>
      </c>
      <c r="B65" s="47" t="inlineStr">
        <is>
          <t>DBG_FAULT_LOG</t>
        </is>
      </c>
      <c r="C65" s="48" t="inlineStr">
        <is>
          <t>4</t>
        </is>
      </c>
      <c r="D65" s="48" t="inlineStr">
        <is>
          <t>4</t>
        </is>
      </c>
      <c r="E65" s="49" t="inlineStr">
        <is>
          <t>IMU_TMO</t>
        </is>
      </c>
      <c r="F65" s="76" t="inlineStr">
        <is>
          <t>W1C</t>
        </is>
      </c>
      <c r="G65" s="51" t="inlineStr">
        <is>
          <t>IMU SPI timeout (&gt; 200 ms without fresh data).</t>
        </is>
      </c>
    </row>
    <row r="66" ht="32" customHeight="1">
      <c r="A66" s="52" t="inlineStr">
        <is>
          <t>0x005C</t>
        </is>
      </c>
      <c r="B66" s="53" t="inlineStr">
        <is>
          <t>DBG_FAULT_LOG</t>
        </is>
      </c>
      <c r="C66" s="54" t="inlineStr">
        <is>
          <t>3</t>
        </is>
      </c>
      <c r="D66" s="54" t="inlineStr">
        <is>
          <t>3</t>
        </is>
      </c>
      <c r="E66" s="55" t="inlineStr">
        <is>
          <t>LASER_FLT</t>
        </is>
      </c>
      <c r="F66" s="77" t="inlineStr">
        <is>
          <t>W1C</t>
        </is>
      </c>
      <c r="G66" s="57" t="inlineStr">
        <is>
          <t>Laser FSM entered FAULT state.</t>
        </is>
      </c>
    </row>
    <row r="67" ht="32" customHeight="1">
      <c r="A67" s="58" t="inlineStr">
        <is>
          <t>0x005C</t>
        </is>
      </c>
      <c r="B67" s="59" t="inlineStr">
        <is>
          <t>DBG_FAULT_LOG</t>
        </is>
      </c>
      <c r="C67" s="60" t="inlineStr">
        <is>
          <t>2</t>
        </is>
      </c>
      <c r="D67" s="60" t="inlineStr">
        <is>
          <t>2</t>
        </is>
      </c>
      <c r="E67" s="16" t="inlineStr">
        <is>
          <t>COVAR_OVF</t>
        </is>
      </c>
      <c r="F67" s="17" t="inlineStr">
        <is>
          <t>W1C</t>
        </is>
      </c>
      <c r="G67" s="20" t="inlineStr">
        <is>
          <t>Covariance matrix diagonal element overflow.</t>
        </is>
      </c>
    </row>
    <row r="68" ht="32" customHeight="1">
      <c r="A68" s="69" t="inlineStr">
        <is>
          <t>0x005C</t>
        </is>
      </c>
      <c r="B68" s="70" t="inlineStr">
        <is>
          <t>DBG_FAULT_LOG</t>
        </is>
      </c>
      <c r="C68" s="71" t="inlineStr">
        <is>
          <t>1</t>
        </is>
      </c>
      <c r="D68" s="71" t="inlineStr">
        <is>
          <t>1</t>
        </is>
      </c>
      <c r="E68" s="11" t="inlineStr">
        <is>
          <t>ADCS_SAT3</t>
        </is>
      </c>
      <c r="F68" s="78" t="inlineStr">
        <is>
          <t>W1C</t>
        </is>
      </c>
      <c r="G68" s="15" t="inlineStr">
        <is>
          <t>All 3 axes saturated simultaneously.</t>
        </is>
      </c>
    </row>
    <row r="69" ht="32" customHeight="1">
      <c r="A69" s="5" t="inlineStr">
        <is>
          <t>0x005C</t>
        </is>
      </c>
      <c r="B69" s="25" t="inlineStr">
        <is>
          <t>DBG_FAULT_LOG</t>
        </is>
      </c>
      <c r="C69" s="26" t="inlineStr">
        <is>
          <t>0</t>
        </is>
      </c>
      <c r="D69" s="26" t="inlineStr">
        <is>
          <t>0</t>
        </is>
      </c>
      <c r="E69" s="27" t="inlineStr">
        <is>
          <t>ORBIT_INV</t>
        </is>
      </c>
      <c r="F69" s="72" t="inlineStr">
        <is>
          <t>W1C</t>
        </is>
      </c>
      <c r="G69" s="29" t="inlineStr">
        <is>
          <t>TLE epoch stale (&gt; 7 days); SGP4 accuracy degraded.</t>
        </is>
      </c>
    </row>
    <row r="70" ht="20" customHeight="1">
      <c r="A70" s="4" t="inlineStr">
        <is>
          <t>▶  CubeSat 2</t>
        </is>
      </c>
    </row>
    <row r="71" ht="32" customHeight="1">
      <c r="A71" s="5" t="inlineStr">
        <is>
          <t>0x1000</t>
        </is>
      </c>
      <c r="B71" s="25" t="inlineStr">
        <is>
          <t>CS_CTRL</t>
        </is>
      </c>
      <c r="C71" s="26" t="inlineStr">
        <is>
          <t>31</t>
        </is>
      </c>
      <c r="D71" s="26" t="inlineStr">
        <is>
          <t>16</t>
        </is>
      </c>
      <c r="E71" s="27" t="inlineStr">
        <is>
          <t>RESERVED</t>
        </is>
      </c>
      <c r="F71" s="28" t="inlineStr">
        <is>
          <t>RW</t>
        </is>
      </c>
      <c r="G71" s="29" t="inlineStr">
        <is>
          <t>Write 0; read returns 0.</t>
        </is>
      </c>
    </row>
    <row r="72" ht="32" customHeight="1">
      <c r="A72" s="30" t="inlineStr">
        <is>
          <t>0x1000</t>
        </is>
      </c>
      <c r="B72" s="31" t="inlineStr">
        <is>
          <t>CS_CTRL</t>
        </is>
      </c>
      <c r="C72" s="32" t="inlineStr">
        <is>
          <t>15</t>
        </is>
      </c>
      <c r="D72" s="32" t="inlineStr">
        <is>
          <t>12</t>
        </is>
      </c>
      <c r="E72" s="33" t="inlineStr">
        <is>
          <t>MODE</t>
        </is>
      </c>
      <c r="F72" s="34" t="inlineStr">
        <is>
          <t>RW</t>
        </is>
      </c>
      <c r="G72" s="35" t="inlineStr">
        <is>
          <t>ADCS operating mode: 0=DETUMBLE 1=COARSE 2=FINE 3=SAFE 4=MANEUVER</t>
        </is>
      </c>
    </row>
    <row r="73" ht="32" customHeight="1">
      <c r="A73" s="24" t="inlineStr">
        <is>
          <t>0x1000</t>
        </is>
      </c>
      <c r="B73" s="36" t="inlineStr">
        <is>
          <t>CS_CTRL</t>
        </is>
      </c>
      <c r="C73" s="37" t="inlineStr">
        <is>
          <t>11</t>
        </is>
      </c>
      <c r="D73" s="37" t="inlineStr">
        <is>
          <t>8</t>
        </is>
      </c>
      <c r="E73" s="38" t="inlineStr">
        <is>
          <t>ESTOP_CLR</t>
        </is>
      </c>
      <c r="F73" s="39" t="inlineStr">
        <is>
          <t>RW</t>
        </is>
      </c>
      <c r="G73" s="40" t="inlineStr">
        <is>
          <t>Write 0xA to clear ESTOP latch (software confirmation).</t>
        </is>
      </c>
    </row>
    <row r="74" ht="32" customHeight="1">
      <c r="A74" s="41" t="inlineStr">
        <is>
          <t>0x1000</t>
        </is>
      </c>
      <c r="B74" s="42" t="inlineStr">
        <is>
          <t>CS_CTRL</t>
        </is>
      </c>
      <c r="C74" s="43" t="inlineStr">
        <is>
          <t>3</t>
        </is>
      </c>
      <c r="D74" s="43" t="inlineStr">
        <is>
          <t>3</t>
        </is>
      </c>
      <c r="E74" s="44" t="inlineStr">
        <is>
          <t>EKF_EN</t>
        </is>
      </c>
      <c r="F74" s="45" t="inlineStr">
        <is>
          <t>RW</t>
        </is>
      </c>
      <c r="G74" s="46" t="inlineStr">
        <is>
          <t>1=Enable quaternion EKF; 0=freeze EKF state.</t>
        </is>
      </c>
    </row>
    <row r="75" ht="32" customHeight="1">
      <c r="A75" s="22" t="inlineStr">
        <is>
          <t>0x1000</t>
        </is>
      </c>
      <c r="B75" s="47" t="inlineStr">
        <is>
          <t>CS_CTRL</t>
        </is>
      </c>
      <c r="C75" s="48" t="inlineStr">
        <is>
          <t>2</t>
        </is>
      </c>
      <c r="D75" s="48" t="inlineStr">
        <is>
          <t>2</t>
        </is>
      </c>
      <c r="E75" s="49" t="inlineStr">
        <is>
          <t>ADCS_EN</t>
        </is>
      </c>
      <c r="F75" s="50" t="inlineStr">
        <is>
          <t>RW</t>
        </is>
      </c>
      <c r="G75" s="51" t="inlineStr">
        <is>
          <t>1=Enable ADCS control outputs; 0=zero all actuators.</t>
        </is>
      </c>
    </row>
    <row r="76" ht="32" customHeight="1">
      <c r="A76" s="52" t="inlineStr">
        <is>
          <t>0x1000</t>
        </is>
      </c>
      <c r="B76" s="53" t="inlineStr">
        <is>
          <t>CS_CTRL</t>
        </is>
      </c>
      <c r="C76" s="54" t="inlineStr">
        <is>
          <t>1</t>
        </is>
      </c>
      <c r="D76" s="54" t="inlineStr">
        <is>
          <t>1</t>
        </is>
      </c>
      <c r="E76" s="55" t="inlineStr">
        <is>
          <t>SOFT_RST</t>
        </is>
      </c>
      <c r="F76" s="56" t="inlineStr">
        <is>
          <t>RW</t>
        </is>
      </c>
      <c r="G76" s="57" t="inlineStr">
        <is>
          <t>Write 1 asserts 8-cycle soft reset (self-clearing).</t>
        </is>
      </c>
    </row>
    <row r="77" ht="32" customHeight="1">
      <c r="A77" s="58" t="inlineStr">
        <is>
          <t>0x1000</t>
        </is>
      </c>
      <c r="B77" s="59" t="inlineStr">
        <is>
          <t>CS_CTRL</t>
        </is>
      </c>
      <c r="C77" s="60" t="inlineStr">
        <is>
          <t>0</t>
        </is>
      </c>
      <c r="D77" s="60" t="inlineStr">
        <is>
          <t>0</t>
        </is>
      </c>
      <c r="E77" s="16" t="inlineStr">
        <is>
          <t>CS_EN</t>
        </is>
      </c>
      <c r="F77" s="61" t="inlineStr">
        <is>
          <t>RW</t>
        </is>
      </c>
      <c r="G77" s="20" t="inlineStr">
        <is>
          <t>1=CubeSat subsystem enabled; 0=all outputs tri-stated.</t>
        </is>
      </c>
    </row>
    <row r="78" ht="32" customHeight="1">
      <c r="A78" s="5" t="inlineStr">
        <is>
          <t>0x1004</t>
        </is>
      </c>
      <c r="B78" s="25" t="inlineStr">
        <is>
          <t>CS_STATUS</t>
        </is>
      </c>
      <c r="C78" s="26" t="inlineStr">
        <is>
          <t>31</t>
        </is>
      </c>
      <c r="D78" s="26" t="inlineStr">
        <is>
          <t>28</t>
        </is>
      </c>
      <c r="E78" s="27" t="inlineStr">
        <is>
          <t>RESERVED</t>
        </is>
      </c>
      <c r="F78" s="62" t="inlineStr">
        <is>
          <t>RO</t>
        </is>
      </c>
      <c r="G78" s="29" t="inlineStr">
        <is>
          <t>Reserved.</t>
        </is>
      </c>
    </row>
    <row r="79" ht="32" customHeight="1">
      <c r="A79" s="30" t="inlineStr">
        <is>
          <t>0x1004</t>
        </is>
      </c>
      <c r="B79" s="31" t="inlineStr">
        <is>
          <t>CS_STATUS</t>
        </is>
      </c>
      <c r="C79" s="32" t="inlineStr">
        <is>
          <t>27</t>
        </is>
      </c>
      <c r="D79" s="32" t="inlineStr">
        <is>
          <t>24</t>
        </is>
      </c>
      <c r="E79" s="33" t="inlineStr">
        <is>
          <t>ADCS_STATE</t>
        </is>
      </c>
      <c r="F79" s="63" t="inlineStr">
        <is>
          <t>RO</t>
        </is>
      </c>
      <c r="G79" s="35" t="inlineStr">
        <is>
          <t>0=BOOT 1=DETUMBLE 2=COARSE 3=FINE 4=SAFE</t>
        </is>
      </c>
    </row>
    <row r="80" ht="32" customHeight="1">
      <c r="A80" s="24" t="inlineStr">
        <is>
          <t>0x1004</t>
        </is>
      </c>
      <c r="B80" s="36" t="inlineStr">
        <is>
          <t>CS_STATUS</t>
        </is>
      </c>
      <c r="C80" s="37" t="inlineStr">
        <is>
          <t>23</t>
        </is>
      </c>
      <c r="D80" s="37" t="inlineStr">
        <is>
          <t>20</t>
        </is>
      </c>
      <c r="E80" s="38" t="inlineStr">
        <is>
          <t>LASER_STATE</t>
        </is>
      </c>
      <c r="F80" s="64" t="inlineStr">
        <is>
          <t>RO</t>
        </is>
      </c>
      <c r="G80" s="40" t="inlineStr">
        <is>
          <t>0=IDLE 1=SEARCH 2=ACQUIRE 3=TRACK 4=COMM 5=FAULT</t>
        </is>
      </c>
    </row>
    <row r="81" ht="32" customHeight="1">
      <c r="A81" s="41" t="inlineStr">
        <is>
          <t>0x1004</t>
        </is>
      </c>
      <c r="B81" s="42" t="inlineStr">
        <is>
          <t>CS_STATUS</t>
        </is>
      </c>
      <c r="C81" s="43" t="inlineStr">
        <is>
          <t>19</t>
        </is>
      </c>
      <c r="D81" s="43" t="inlineStr">
        <is>
          <t>16</t>
        </is>
      </c>
      <c r="E81" s="44" t="inlineStr">
        <is>
          <t>FAULT_CODE</t>
        </is>
      </c>
      <c r="F81" s="65" t="inlineStr">
        <is>
          <t>RO</t>
        </is>
      </c>
      <c r="G81" s="46" t="inlineStr">
        <is>
          <t>0=none 1=IMU_TMO 2=MAG_ERR 3=RW_FLT 4=COVAR_OVF</t>
        </is>
      </c>
    </row>
    <row r="82" ht="32" customHeight="1">
      <c r="A82" s="22" t="inlineStr">
        <is>
          <t>0x1004</t>
        </is>
      </c>
      <c r="B82" s="47" t="inlineStr">
        <is>
          <t>CS_STATUS</t>
        </is>
      </c>
      <c r="C82" s="48" t="inlineStr">
        <is>
          <t>15</t>
        </is>
      </c>
      <c r="D82" s="48" t="inlineStr">
        <is>
          <t>15</t>
        </is>
      </c>
      <c r="E82" s="49" t="inlineStr">
        <is>
          <t>EKF_CONV</t>
        </is>
      </c>
      <c r="F82" s="66" t="inlineStr">
        <is>
          <t>RO</t>
        </is>
      </c>
      <c r="G82" s="51" t="inlineStr">
        <is>
          <t>1=EKF converged (covariance below threshold).</t>
        </is>
      </c>
    </row>
    <row r="83" ht="32" customHeight="1">
      <c r="A83" s="52" t="inlineStr">
        <is>
          <t>0x1004</t>
        </is>
      </c>
      <c r="B83" s="53" t="inlineStr">
        <is>
          <t>CS_STATUS</t>
        </is>
      </c>
      <c r="C83" s="54" t="inlineStr">
        <is>
          <t>14</t>
        </is>
      </c>
      <c r="D83" s="54" t="inlineStr">
        <is>
          <t>14</t>
        </is>
      </c>
      <c r="E83" s="55" t="inlineStr">
        <is>
          <t>ESTOP_ACTIVE</t>
        </is>
      </c>
      <c r="F83" s="67" t="inlineStr">
        <is>
          <t>RO</t>
        </is>
      </c>
      <c r="G83" s="57" t="inlineStr">
        <is>
          <t>1=Fleet E-STOP currently asserted.</t>
        </is>
      </c>
    </row>
    <row r="84" ht="32" customHeight="1">
      <c r="A84" s="58" t="inlineStr">
        <is>
          <t>0x1004</t>
        </is>
      </c>
      <c r="B84" s="59" t="inlineStr">
        <is>
          <t>CS_STATUS</t>
        </is>
      </c>
      <c r="C84" s="60" t="inlineStr">
        <is>
          <t>13</t>
        </is>
      </c>
      <c r="D84" s="60" t="inlineStr">
        <is>
          <t>13</t>
        </is>
      </c>
      <c r="E84" s="16" t="inlineStr">
        <is>
          <t>SAT_OVF</t>
        </is>
      </c>
      <c r="F84" s="68" t="inlineStr">
        <is>
          <t>RO</t>
        </is>
      </c>
      <c r="G84" s="20" t="inlineStr">
        <is>
          <t>1=At least one control axis saturated this cycle.</t>
        </is>
      </c>
    </row>
    <row r="85" ht="32" customHeight="1">
      <c r="A85" s="69" t="inlineStr">
        <is>
          <t>0x1004</t>
        </is>
      </c>
      <c r="B85" s="70" t="inlineStr">
        <is>
          <t>CS_STATUS</t>
        </is>
      </c>
      <c r="C85" s="71" t="inlineStr">
        <is>
          <t>12</t>
        </is>
      </c>
      <c r="D85" s="71" t="inlineStr">
        <is>
          <t>12</t>
        </is>
      </c>
      <c r="E85" s="11" t="inlineStr">
        <is>
          <t>IMU_LOCK</t>
        </is>
      </c>
      <c r="F85" s="12" t="inlineStr">
        <is>
          <t>RO</t>
        </is>
      </c>
      <c r="G85" s="15" t="inlineStr">
        <is>
          <t>1=IMU SPI healthy (refreshed at 100 Hz).</t>
        </is>
      </c>
    </row>
    <row r="86" ht="32" customHeight="1">
      <c r="A86" s="5" t="inlineStr">
        <is>
          <t>0x1004</t>
        </is>
      </c>
      <c r="B86" s="25" t="inlineStr">
        <is>
          <t>CS_STATUS</t>
        </is>
      </c>
      <c r="C86" s="26" t="inlineStr">
        <is>
          <t>11</t>
        </is>
      </c>
      <c r="D86" s="26" t="inlineStr">
        <is>
          <t>11</t>
        </is>
      </c>
      <c r="E86" s="27" t="inlineStr">
        <is>
          <t>MAG_LOCK</t>
        </is>
      </c>
      <c r="F86" s="62" t="inlineStr">
        <is>
          <t>RO</t>
        </is>
      </c>
      <c r="G86" s="29" t="inlineStr">
        <is>
          <t>1=Magnetometer I2C healthy.</t>
        </is>
      </c>
    </row>
    <row r="87" ht="32" customHeight="1">
      <c r="A87" s="30" t="inlineStr">
        <is>
          <t>0x1004</t>
        </is>
      </c>
      <c r="B87" s="31" t="inlineStr">
        <is>
          <t>CS_STATUS</t>
        </is>
      </c>
      <c r="C87" s="32" t="inlineStr">
        <is>
          <t>10</t>
        </is>
      </c>
      <c r="D87" s="32" t="inlineStr">
        <is>
          <t>10</t>
        </is>
      </c>
      <c r="E87" s="33" t="inlineStr">
        <is>
          <t>LASER_TRACK</t>
        </is>
      </c>
      <c r="F87" s="63" t="inlineStr">
        <is>
          <t>RO</t>
        </is>
      </c>
      <c r="G87" s="35" t="inlineStr">
        <is>
          <t>1=Laser in TRACK state (error &lt; 0.05 RMS).</t>
        </is>
      </c>
    </row>
    <row r="88" ht="32" customHeight="1">
      <c r="A88" s="24" t="inlineStr">
        <is>
          <t>0x1004</t>
        </is>
      </c>
      <c r="B88" s="36" t="inlineStr">
        <is>
          <t>CS_STATUS</t>
        </is>
      </c>
      <c r="C88" s="37" t="inlineStr">
        <is>
          <t>9</t>
        </is>
      </c>
      <c r="D88" s="37" t="inlineStr">
        <is>
          <t>9</t>
        </is>
      </c>
      <c r="E88" s="38" t="inlineStr">
        <is>
          <t>LASER_COMM</t>
        </is>
      </c>
      <c r="F88" s="64" t="inlineStr">
        <is>
          <t>RO</t>
        </is>
      </c>
      <c r="G88" s="40" t="inlineStr">
        <is>
          <t>1=Laser in COMM state (optical link active).</t>
        </is>
      </c>
    </row>
    <row r="89" ht="32" customHeight="1">
      <c r="A89" s="41" t="inlineStr">
        <is>
          <t>0x1004</t>
        </is>
      </c>
      <c r="B89" s="42" t="inlineStr">
        <is>
          <t>CS_STATUS</t>
        </is>
      </c>
      <c r="C89" s="43" t="inlineStr">
        <is>
          <t>8</t>
        </is>
      </c>
      <c r="D89" s="43" t="inlineStr">
        <is>
          <t>8</t>
        </is>
      </c>
      <c r="E89" s="44" t="inlineStr">
        <is>
          <t>ORBIT_VALID</t>
        </is>
      </c>
      <c r="F89" s="65" t="inlineStr">
        <is>
          <t>RO</t>
        </is>
      </c>
      <c r="G89" s="46" t="inlineStr">
        <is>
          <t>1=SGP4 orbit solution valid (TLE loaded, epoch &lt; 7 days).</t>
        </is>
      </c>
    </row>
    <row r="90" ht="32" customHeight="1">
      <c r="A90" s="22" t="inlineStr">
        <is>
          <t>0x1004</t>
        </is>
      </c>
      <c r="B90" s="47" t="inlineStr">
        <is>
          <t>CS_STATUS</t>
        </is>
      </c>
      <c r="C90" s="48" t="inlineStr">
        <is>
          <t>7</t>
        </is>
      </c>
      <c r="D90" s="48" t="inlineStr">
        <is>
          <t>4</t>
        </is>
      </c>
      <c r="E90" s="49" t="inlineStr">
        <is>
          <t>RESERVED2</t>
        </is>
      </c>
      <c r="F90" s="66" t="inlineStr">
        <is>
          <t>RO</t>
        </is>
      </c>
      <c r="G90" s="51" t="inlineStr">
        <is>
          <t>Reserved.</t>
        </is>
      </c>
    </row>
    <row r="91" ht="32" customHeight="1">
      <c r="A91" s="52" t="inlineStr">
        <is>
          <t>0x1004</t>
        </is>
      </c>
      <c r="B91" s="53" t="inlineStr">
        <is>
          <t>CS_STATUS</t>
        </is>
      </c>
      <c r="C91" s="54" t="inlineStr">
        <is>
          <t>3</t>
        </is>
      </c>
      <c r="D91" s="54" t="inlineStr">
        <is>
          <t>0</t>
        </is>
      </c>
      <c r="E91" s="55" t="inlineStr">
        <is>
          <t>WDT_COUNT</t>
        </is>
      </c>
      <c r="F91" s="67" t="inlineStr">
        <is>
          <t>RO</t>
        </is>
      </c>
      <c r="G91" s="57" t="inlineStr">
        <is>
          <t>Watchdog kick count modulo 16.</t>
        </is>
      </c>
    </row>
    <row r="92" ht="32" customHeight="1">
      <c r="A92" s="5" t="inlineStr">
        <is>
          <t>0x1008</t>
        </is>
      </c>
      <c r="B92" s="25" t="inlineStr">
        <is>
          <t>EKF_Q_QUAT</t>
        </is>
      </c>
      <c r="C92" s="26" t="inlineStr">
        <is>
          <t>31</t>
        </is>
      </c>
      <c r="D92" s="26" t="inlineStr">
        <is>
          <t>0</t>
        </is>
      </c>
      <c r="E92" s="27" t="inlineStr">
        <is>
          <t>Q_QUAT</t>
        </is>
      </c>
      <c r="F92" s="28" t="inlineStr">
        <is>
          <t>RW</t>
        </is>
      </c>
      <c r="G92" s="29" t="inlineStr">
        <is>
          <t>Quaternion process noise Q4.28. 0.01 × 2^28 = 0x00A3D70A.</t>
        </is>
      </c>
    </row>
    <row r="93" ht="32" customHeight="1">
      <c r="A93" s="5" t="inlineStr">
        <is>
          <t>0x100C</t>
        </is>
      </c>
      <c r="B93" s="25" t="inlineStr">
        <is>
          <t>EKF_Q_BIAS</t>
        </is>
      </c>
      <c r="C93" s="26" t="inlineStr">
        <is>
          <t>31</t>
        </is>
      </c>
      <c r="D93" s="26" t="inlineStr">
        <is>
          <t>0</t>
        </is>
      </c>
      <c r="E93" s="27" t="inlineStr">
        <is>
          <t>Q_BIAS</t>
        </is>
      </c>
      <c r="F93" s="28" t="inlineStr">
        <is>
          <t>RW</t>
        </is>
      </c>
      <c r="G93" s="29" t="inlineStr">
        <is>
          <t>Gyro bias noise Q4.28. 0.001 × 2^28 = 0x000010C7.</t>
        </is>
      </c>
    </row>
    <row r="94" ht="32" customHeight="1">
      <c r="A94" s="5" t="inlineStr">
        <is>
          <t>0x1010</t>
        </is>
      </c>
      <c r="B94" s="25" t="inlineStr">
        <is>
          <t>EKF_R_GYRO</t>
        </is>
      </c>
      <c r="C94" s="26" t="inlineStr">
        <is>
          <t>31</t>
        </is>
      </c>
      <c r="D94" s="26" t="inlineStr">
        <is>
          <t>0</t>
        </is>
      </c>
      <c r="E94" s="27" t="inlineStr">
        <is>
          <t>R_GYRO</t>
        </is>
      </c>
      <c r="F94" s="28" t="inlineStr">
        <is>
          <t>RW</t>
        </is>
      </c>
      <c r="G94" s="29" t="inlineStr">
        <is>
          <t>Gyro noise variance Q4.28.</t>
        </is>
      </c>
    </row>
    <row r="95" ht="32" customHeight="1">
      <c r="A95" s="5" t="inlineStr">
        <is>
          <t>0x1014</t>
        </is>
      </c>
      <c r="B95" s="25" t="inlineStr">
        <is>
          <t>EKF_R_MAG</t>
        </is>
      </c>
      <c r="C95" s="26" t="inlineStr">
        <is>
          <t>31</t>
        </is>
      </c>
      <c r="D95" s="26" t="inlineStr">
        <is>
          <t>0</t>
        </is>
      </c>
      <c r="E95" s="27" t="inlineStr">
        <is>
          <t>R_MAG</t>
        </is>
      </c>
      <c r="F95" s="28" t="inlineStr">
        <is>
          <t>RW</t>
        </is>
      </c>
      <c r="G95" s="29" t="inlineStr">
        <is>
          <t>Magnetometer noise Q1.30.</t>
        </is>
      </c>
    </row>
    <row r="96" ht="32" customHeight="1">
      <c r="A96" s="5" t="inlineStr">
        <is>
          <t>0x1018</t>
        </is>
      </c>
      <c r="B96" s="25" t="inlineStr">
        <is>
          <t>ADCS_KP</t>
        </is>
      </c>
      <c r="C96" s="26" t="inlineStr">
        <is>
          <t>31</t>
        </is>
      </c>
      <c r="D96" s="26" t="inlineStr">
        <is>
          <t>16</t>
        </is>
      </c>
      <c r="E96" s="27" t="inlineStr">
        <is>
          <t>RESERVED</t>
        </is>
      </c>
      <c r="F96" s="28" t="inlineStr">
        <is>
          <t>RW</t>
        </is>
      </c>
      <c r="G96" s="29" t="inlineStr">
        <is>
          <t>Reserved.</t>
        </is>
      </c>
    </row>
    <row r="97" ht="32" customHeight="1">
      <c r="A97" s="30" t="inlineStr">
        <is>
          <t>0x1018</t>
        </is>
      </c>
      <c r="B97" s="31" t="inlineStr">
        <is>
          <t>ADCS_KP</t>
        </is>
      </c>
      <c r="C97" s="32" t="inlineStr">
        <is>
          <t>15</t>
        </is>
      </c>
      <c r="D97" s="32" t="inlineStr">
        <is>
          <t>0</t>
        </is>
      </c>
      <c r="E97" s="33" t="inlineStr">
        <is>
          <t>KP</t>
        </is>
      </c>
      <c r="F97" s="34" t="inlineStr">
        <is>
          <t>RW</t>
        </is>
      </c>
      <c r="G97" s="35" t="inlineStr">
        <is>
          <t>Kp Q4.12. Range [0, 15.999].</t>
        </is>
      </c>
    </row>
    <row r="98" ht="32" customHeight="1">
      <c r="A98" s="5" t="inlineStr">
        <is>
          <t>0x101C</t>
        </is>
      </c>
      <c r="B98" s="25" t="inlineStr">
        <is>
          <t>ADCS_KD</t>
        </is>
      </c>
      <c r="C98" s="26" t="inlineStr">
        <is>
          <t>31</t>
        </is>
      </c>
      <c r="D98" s="26" t="inlineStr">
        <is>
          <t>16</t>
        </is>
      </c>
      <c r="E98" s="27" t="inlineStr">
        <is>
          <t>RESERVED</t>
        </is>
      </c>
      <c r="F98" s="28" t="inlineStr">
        <is>
          <t>RW</t>
        </is>
      </c>
      <c r="G98" s="29" t="inlineStr">
        <is>
          <t>Reserved.</t>
        </is>
      </c>
    </row>
    <row r="99" ht="32" customHeight="1">
      <c r="A99" s="30" t="inlineStr">
        <is>
          <t>0x101C</t>
        </is>
      </c>
      <c r="B99" s="31" t="inlineStr">
        <is>
          <t>ADCS_KD</t>
        </is>
      </c>
      <c r="C99" s="32" t="inlineStr">
        <is>
          <t>15</t>
        </is>
      </c>
      <c r="D99" s="32" t="inlineStr">
        <is>
          <t>0</t>
        </is>
      </c>
      <c r="E99" s="33" t="inlineStr">
        <is>
          <t>KD</t>
        </is>
      </c>
      <c r="F99" s="34" t="inlineStr">
        <is>
          <t>RW</t>
        </is>
      </c>
      <c r="G99" s="35" t="inlineStr">
        <is>
          <t>Kd Q4.12.</t>
        </is>
      </c>
    </row>
    <row r="100" ht="32" customHeight="1">
      <c r="A100" s="5" t="inlineStr">
        <is>
          <t>0x1020</t>
        </is>
      </c>
      <c r="B100" s="25" t="inlineStr">
        <is>
          <t>ADCS_KI</t>
        </is>
      </c>
      <c r="C100" s="26" t="inlineStr">
        <is>
          <t>31</t>
        </is>
      </c>
      <c r="D100" s="26" t="inlineStr">
        <is>
          <t>16</t>
        </is>
      </c>
      <c r="E100" s="27" t="inlineStr">
        <is>
          <t>RESERVED</t>
        </is>
      </c>
      <c r="F100" s="28" t="inlineStr">
        <is>
          <t>RW</t>
        </is>
      </c>
      <c r="G100" s="29" t="inlineStr">
        <is>
          <t>Reserved.</t>
        </is>
      </c>
    </row>
    <row r="101" ht="32" customHeight="1">
      <c r="A101" s="30" t="inlineStr">
        <is>
          <t>0x1020</t>
        </is>
      </c>
      <c r="B101" s="31" t="inlineStr">
        <is>
          <t>ADCS_KI</t>
        </is>
      </c>
      <c r="C101" s="32" t="inlineStr">
        <is>
          <t>15</t>
        </is>
      </c>
      <c r="D101" s="32" t="inlineStr">
        <is>
          <t>0</t>
        </is>
      </c>
      <c r="E101" s="33" t="inlineStr">
        <is>
          <t>KI</t>
        </is>
      </c>
      <c r="F101" s="34" t="inlineStr">
        <is>
          <t>RW</t>
        </is>
      </c>
      <c r="G101" s="35" t="inlineStr">
        <is>
          <t>Ki Q4.12. Set 0 to disable integration.</t>
        </is>
      </c>
    </row>
    <row r="102" ht="32" customHeight="1">
      <c r="A102" s="5" t="inlineStr">
        <is>
          <t>0x1024</t>
        </is>
      </c>
      <c r="B102" s="25" t="inlineStr">
        <is>
          <t>ADCS_SAT</t>
        </is>
      </c>
      <c r="C102" s="26" t="inlineStr">
        <is>
          <t>31</t>
        </is>
      </c>
      <c r="D102" s="26" t="inlineStr">
        <is>
          <t>16</t>
        </is>
      </c>
      <c r="E102" s="27" t="inlineStr">
        <is>
          <t>SAT_MAX</t>
        </is>
      </c>
      <c r="F102" s="28" t="inlineStr">
        <is>
          <t>RW</t>
        </is>
      </c>
      <c r="G102" s="29" t="inlineStr">
        <is>
          <t>Upper saturation Q1.15. Default 0x7FFF = +0.9999.</t>
        </is>
      </c>
    </row>
    <row r="103" ht="32" customHeight="1">
      <c r="A103" s="30" t="inlineStr">
        <is>
          <t>0x1024</t>
        </is>
      </c>
      <c r="B103" s="31" t="inlineStr">
        <is>
          <t>ADCS_SAT</t>
        </is>
      </c>
      <c r="C103" s="32" t="inlineStr">
        <is>
          <t>15</t>
        </is>
      </c>
      <c r="D103" s="32" t="inlineStr">
        <is>
          <t>0</t>
        </is>
      </c>
      <c r="E103" s="33" t="inlineStr">
        <is>
          <t>SAT_MIN</t>
        </is>
      </c>
      <c r="F103" s="34" t="inlineStr">
        <is>
          <t>RW</t>
        </is>
      </c>
      <c r="G103" s="35" t="inlineStr">
        <is>
          <t>Lower saturation Q1.15. Default 0x8001 = -0.9999.</t>
        </is>
      </c>
    </row>
    <row r="104" ht="32" customHeight="1">
      <c r="A104" s="5" t="inlineStr">
        <is>
          <t>0x1028</t>
        </is>
      </c>
      <c r="B104" s="25" t="inlineStr">
        <is>
          <t>RW_SPEED_LIM</t>
        </is>
      </c>
      <c r="C104" s="26" t="inlineStr">
        <is>
          <t>31</t>
        </is>
      </c>
      <c r="D104" s="26" t="inlineStr">
        <is>
          <t>16</t>
        </is>
      </c>
      <c r="E104" s="27" t="inlineStr">
        <is>
          <t>RESERVED</t>
        </is>
      </c>
      <c r="F104" s="28" t="inlineStr">
        <is>
          <t>RW</t>
        </is>
      </c>
      <c r="G104" s="29" t="inlineStr">
        <is>
          <t>Reserved.</t>
        </is>
      </c>
    </row>
    <row r="105" ht="32" customHeight="1">
      <c r="A105" s="30" t="inlineStr">
        <is>
          <t>0x1028</t>
        </is>
      </c>
      <c r="B105" s="31" t="inlineStr">
        <is>
          <t>RW_SPEED_LIM</t>
        </is>
      </c>
      <c r="C105" s="32" t="inlineStr">
        <is>
          <t>15</t>
        </is>
      </c>
      <c r="D105" s="32" t="inlineStr">
        <is>
          <t>0</t>
        </is>
      </c>
      <c r="E105" s="33" t="inlineStr">
        <is>
          <t>RW_MAX</t>
        </is>
      </c>
      <c r="F105" s="34" t="inlineStr">
        <is>
          <t>RW</t>
        </is>
      </c>
      <c r="G105" s="35" t="inlineStr">
        <is>
          <t>RW max speed Q4.12. Default 0x3FFF ≈ 4.0.</t>
        </is>
      </c>
    </row>
    <row r="106" ht="32" customHeight="1">
      <c r="A106" s="5" t="inlineStr">
        <is>
          <t>0x102C</t>
        </is>
      </c>
      <c r="B106" s="25" t="inlineStr">
        <is>
          <t>MTQ_SCALE</t>
        </is>
      </c>
      <c r="C106" s="26" t="inlineStr">
        <is>
          <t>31</t>
        </is>
      </c>
      <c r="D106" s="26" t="inlineStr">
        <is>
          <t>16</t>
        </is>
      </c>
      <c r="E106" s="27" t="inlineStr">
        <is>
          <t>RESERVED</t>
        </is>
      </c>
      <c r="F106" s="28" t="inlineStr">
        <is>
          <t>RW</t>
        </is>
      </c>
      <c r="G106" s="29" t="inlineStr">
        <is>
          <t>Reserved.</t>
        </is>
      </c>
    </row>
    <row r="107" ht="32" customHeight="1">
      <c r="A107" s="30" t="inlineStr">
        <is>
          <t>0x102C</t>
        </is>
      </c>
      <c r="B107" s="31" t="inlineStr">
        <is>
          <t>MTQ_SCALE</t>
        </is>
      </c>
      <c r="C107" s="32" t="inlineStr">
        <is>
          <t>15</t>
        </is>
      </c>
      <c r="D107" s="32" t="inlineStr">
        <is>
          <t>0</t>
        </is>
      </c>
      <c r="E107" s="33" t="inlineStr">
        <is>
          <t>MTQ_SCALE</t>
        </is>
      </c>
      <c r="F107" s="34" t="inlineStr">
        <is>
          <t>RW</t>
        </is>
      </c>
      <c r="G107" s="35" t="inlineStr">
        <is>
          <t>Scale Q4.12.</t>
        </is>
      </c>
    </row>
    <row r="108" ht="32" customHeight="1">
      <c r="A108" s="5" t="inlineStr">
        <is>
          <t>0x1030</t>
        </is>
      </c>
      <c r="B108" s="25" t="inlineStr">
        <is>
          <t>LASER_RANGE</t>
        </is>
      </c>
      <c r="C108" s="26" t="inlineStr">
        <is>
          <t>31</t>
        </is>
      </c>
      <c r="D108" s="26" t="inlineStr">
        <is>
          <t>16</t>
        </is>
      </c>
      <c r="E108" s="27" t="inlineStr">
        <is>
          <t>AZ_HALF_DEG100</t>
        </is>
      </c>
      <c r="F108" s="28" t="inlineStr">
        <is>
          <t>RW</t>
        </is>
      </c>
      <c r="G108" s="29" t="inlineStr">
        <is>
          <t>Azimuth half-range ×0.01 degrees. Default 0x00A0 = 160 = ±10.00°.</t>
        </is>
      </c>
    </row>
    <row r="109" ht="32" customHeight="1">
      <c r="A109" s="30" t="inlineStr">
        <is>
          <t>0x1030</t>
        </is>
      </c>
      <c r="B109" s="31" t="inlineStr">
        <is>
          <t>LASER_RANGE</t>
        </is>
      </c>
      <c r="C109" s="32" t="inlineStr">
        <is>
          <t>15</t>
        </is>
      </c>
      <c r="D109" s="32" t="inlineStr">
        <is>
          <t>0</t>
        </is>
      </c>
      <c r="E109" s="33" t="inlineStr">
        <is>
          <t>EL_HALF_DEG100</t>
        </is>
      </c>
      <c r="F109" s="34" t="inlineStr">
        <is>
          <t>RW</t>
        </is>
      </c>
      <c r="G109" s="35" t="inlineStr">
        <is>
          <t>Elevation half-range ×0.01 degrees. Default 0x0050 = 80 = ±5.00°.</t>
        </is>
      </c>
    </row>
    <row r="110" ht="32" customHeight="1">
      <c r="A110" s="5" t="inlineStr">
        <is>
          <t>0x1034</t>
        </is>
      </c>
      <c r="B110" s="25" t="inlineStr">
        <is>
          <t>LASER_THRESH</t>
        </is>
      </c>
      <c r="C110" s="26" t="inlineStr">
        <is>
          <t>31</t>
        </is>
      </c>
      <c r="D110" s="26" t="inlineStr">
        <is>
          <t>16</t>
        </is>
      </c>
      <c r="E110" s="27" t="inlineStr">
        <is>
          <t>TRACK_THRESH</t>
        </is>
      </c>
      <c r="F110" s="28" t="inlineStr">
        <is>
          <t>RW</t>
        </is>
      </c>
      <c r="G110" s="29" t="inlineStr">
        <is>
          <t>12-bit ADC threshold for TRACK state. Upper 16-bit field.</t>
        </is>
      </c>
    </row>
    <row r="111" ht="32" customHeight="1">
      <c r="A111" s="30" t="inlineStr">
        <is>
          <t>0x1034</t>
        </is>
      </c>
      <c r="B111" s="31" t="inlineStr">
        <is>
          <t>LASER_THRESH</t>
        </is>
      </c>
      <c r="C111" s="32" t="inlineStr">
        <is>
          <t>15</t>
        </is>
      </c>
      <c r="D111" s="32" t="inlineStr">
        <is>
          <t>0</t>
        </is>
      </c>
      <c r="E111" s="33" t="inlineStr">
        <is>
          <t>ACQ_THRESH</t>
        </is>
      </c>
      <c r="F111" s="34" t="inlineStr">
        <is>
          <t>RW</t>
        </is>
      </c>
      <c r="G111" s="35" t="inlineStr">
        <is>
          <t>12-bit ADC threshold for ACQUIRE→TRACK.</t>
        </is>
      </c>
    </row>
    <row r="112" ht="32" customHeight="1">
      <c r="A112" s="5" t="inlineStr">
        <is>
          <t>0x1038</t>
        </is>
      </c>
      <c r="B112" s="25" t="inlineStr">
        <is>
          <t>LASER_STEP_RATE</t>
        </is>
      </c>
      <c r="C112" s="26" t="inlineStr">
        <is>
          <t>31</t>
        </is>
      </c>
      <c r="D112" s="26" t="inlineStr">
        <is>
          <t>16</t>
        </is>
      </c>
      <c r="E112" s="27" t="inlineStr">
        <is>
          <t>AZ_RATE</t>
        </is>
      </c>
      <c r="F112" s="28" t="inlineStr">
        <is>
          <t>RW</t>
        </is>
      </c>
      <c r="G112" s="29" t="inlineStr">
        <is>
          <t>Azimuth max step rate. Default 0x1388 = 5000 steps/s.</t>
        </is>
      </c>
    </row>
    <row r="113" ht="32" customHeight="1">
      <c r="A113" s="30" t="inlineStr">
        <is>
          <t>0x1038</t>
        </is>
      </c>
      <c r="B113" s="31" t="inlineStr">
        <is>
          <t>LASER_STEP_RATE</t>
        </is>
      </c>
      <c r="C113" s="32" t="inlineStr">
        <is>
          <t>15</t>
        </is>
      </c>
      <c r="D113" s="32" t="inlineStr">
        <is>
          <t>0</t>
        </is>
      </c>
      <c r="E113" s="33" t="inlineStr">
        <is>
          <t>EL_RATE</t>
        </is>
      </c>
      <c r="F113" s="34" t="inlineStr">
        <is>
          <t>RW</t>
        </is>
      </c>
      <c r="G113" s="35" t="inlineStr">
        <is>
          <t>Elevation max step rate. Default 0x1388 = 5000 steps/s.</t>
        </is>
      </c>
    </row>
    <row r="114" ht="32" customHeight="1">
      <c r="A114" s="5" t="inlineStr">
        <is>
          <t>0x103C</t>
        </is>
      </c>
      <c r="B114" s="25" t="inlineStr">
        <is>
          <t>TLE_EPOCH_HI</t>
        </is>
      </c>
      <c r="C114" s="26" t="inlineStr">
        <is>
          <t>31</t>
        </is>
      </c>
      <c r="D114" s="26" t="inlineStr">
        <is>
          <t>0</t>
        </is>
      </c>
      <c r="E114" s="27" t="inlineStr">
        <is>
          <t>EPOCH_HI</t>
        </is>
      </c>
      <c r="F114" s="28" t="inlineStr">
        <is>
          <t>RW</t>
        </is>
      </c>
      <c r="G114" s="29" t="inlineStr">
        <is>
          <t>Upper 32 bits of epoch double. Write both halves to trigger SGP4 re-init.</t>
        </is>
      </c>
    </row>
    <row r="115" ht="32" customHeight="1">
      <c r="A115" s="5" t="inlineStr">
        <is>
          <t>0x1040</t>
        </is>
      </c>
      <c r="B115" s="25" t="inlineStr">
        <is>
          <t>TLE_EPOCH_LO</t>
        </is>
      </c>
      <c r="C115" s="26" t="inlineStr">
        <is>
          <t>31</t>
        </is>
      </c>
      <c r="D115" s="26" t="inlineStr">
        <is>
          <t>0</t>
        </is>
      </c>
      <c r="E115" s="27" t="inlineStr">
        <is>
          <t>EPOCH_LO</t>
        </is>
      </c>
      <c r="F115" s="28" t="inlineStr">
        <is>
          <t>RW</t>
        </is>
      </c>
      <c r="G115" s="29" t="inlineStr">
        <is>
          <t>Lower 32 bits of epoch double.</t>
        </is>
      </c>
    </row>
    <row r="116" ht="32" customHeight="1">
      <c r="A116" s="5" t="inlineStr">
        <is>
          <t>0x1044</t>
        </is>
      </c>
      <c r="B116" s="25" t="inlineStr">
        <is>
          <t>TLE_INCL</t>
        </is>
      </c>
      <c r="C116" s="26" t="inlineStr">
        <is>
          <t>31</t>
        </is>
      </c>
      <c r="D116" s="26" t="inlineStr">
        <is>
          <t>0</t>
        </is>
      </c>
      <c r="E116" s="27" t="inlineStr">
        <is>
          <t>INCL_DEG</t>
        </is>
      </c>
      <c r="F116" s="28" t="inlineStr">
        <is>
          <t>RW</t>
        </is>
      </c>
      <c r="G116" s="29" t="inlineStr">
        <is>
          <t>Inclination degrees Q10.22. Also loads other TLE elements via BRAM write sequence.</t>
        </is>
      </c>
    </row>
    <row r="117" ht="32" customHeight="1">
      <c r="A117" s="5" t="inlineStr">
        <is>
          <t>0x1048</t>
        </is>
      </c>
      <c r="B117" s="25" t="inlineStr">
        <is>
          <t>TLM_PERIOD</t>
        </is>
      </c>
      <c r="C117" s="26" t="inlineStr">
        <is>
          <t>31</t>
        </is>
      </c>
      <c r="D117" s="26" t="inlineStr">
        <is>
          <t>8</t>
        </is>
      </c>
      <c r="E117" s="27" t="inlineStr">
        <is>
          <t>RESERVED</t>
        </is>
      </c>
      <c r="F117" s="28" t="inlineStr">
        <is>
          <t>RW</t>
        </is>
      </c>
      <c r="G117" s="29" t="inlineStr">
        <is>
          <t>Reserved.</t>
        </is>
      </c>
    </row>
    <row r="118" ht="32" customHeight="1">
      <c r="A118" s="30" t="inlineStr">
        <is>
          <t>0x1048</t>
        </is>
      </c>
      <c r="B118" s="31" t="inlineStr">
        <is>
          <t>TLM_PERIOD</t>
        </is>
      </c>
      <c r="C118" s="32" t="inlineStr">
        <is>
          <t>7</t>
        </is>
      </c>
      <c r="D118" s="32" t="inlineStr">
        <is>
          <t>0</t>
        </is>
      </c>
      <c r="E118" s="33" t="inlineStr">
        <is>
          <t>PERIOD_S</t>
        </is>
      </c>
      <c r="F118" s="34" t="inlineStr">
        <is>
          <t>RW</t>
        </is>
      </c>
      <c r="G118" s="35" t="inlineStr">
        <is>
          <t>Period 1–255 seconds. Default 1.</t>
        </is>
      </c>
    </row>
    <row r="119" ht="32" customHeight="1">
      <c r="A119" s="5" t="inlineStr">
        <is>
          <t>0x104C</t>
        </is>
      </c>
      <c r="B119" s="25" t="inlineStr">
        <is>
          <t>TLM_ENABLE</t>
        </is>
      </c>
      <c r="C119" s="26" t="inlineStr">
        <is>
          <t>31</t>
        </is>
      </c>
      <c r="D119" s="26" t="inlineStr">
        <is>
          <t>3</t>
        </is>
      </c>
      <c r="E119" s="27" t="inlineStr">
        <is>
          <t>RESERVED</t>
        </is>
      </c>
      <c r="F119" s="28" t="inlineStr">
        <is>
          <t>RW</t>
        </is>
      </c>
      <c r="G119" s="29" t="inlineStr">
        <is>
          <t>Reserved.</t>
        </is>
      </c>
    </row>
    <row r="120" ht="32" customHeight="1">
      <c r="A120" s="30" t="inlineStr">
        <is>
          <t>0x104C</t>
        </is>
      </c>
      <c r="B120" s="31" t="inlineStr">
        <is>
          <t>TLM_ENABLE</t>
        </is>
      </c>
      <c r="C120" s="32" t="inlineStr">
        <is>
          <t>2</t>
        </is>
      </c>
      <c r="D120" s="32" t="inlineStr">
        <is>
          <t>2</t>
        </is>
      </c>
      <c r="E120" s="33" t="inlineStr">
        <is>
          <t>LASER_EN</t>
        </is>
      </c>
      <c r="F120" s="34" t="inlineStr">
        <is>
          <t>RW</t>
        </is>
      </c>
      <c r="G120" s="35" t="inlineStr">
        <is>
          <t>1=Enable laser telemetry (APID 0x103).</t>
        </is>
      </c>
    </row>
    <row r="121" ht="32" customHeight="1">
      <c r="A121" s="24" t="inlineStr">
        <is>
          <t>0x104C</t>
        </is>
      </c>
      <c r="B121" s="36" t="inlineStr">
        <is>
          <t>TLM_ENABLE</t>
        </is>
      </c>
      <c r="C121" s="37" t="inlineStr">
        <is>
          <t>1</t>
        </is>
      </c>
      <c r="D121" s="37" t="inlineStr">
        <is>
          <t>1</t>
        </is>
      </c>
      <c r="E121" s="38" t="inlineStr">
        <is>
          <t>ORBIT_EN</t>
        </is>
      </c>
      <c r="F121" s="39" t="inlineStr">
        <is>
          <t>RW</t>
        </is>
      </c>
      <c r="G121" s="40" t="inlineStr">
        <is>
          <t>1=Enable orbit telemetry (APID 0x102).</t>
        </is>
      </c>
    </row>
    <row r="122" ht="32" customHeight="1">
      <c r="A122" s="41" t="inlineStr">
        <is>
          <t>0x104C</t>
        </is>
      </c>
      <c r="B122" s="42" t="inlineStr">
        <is>
          <t>TLM_ENABLE</t>
        </is>
      </c>
      <c r="C122" s="43" t="inlineStr">
        <is>
          <t>0</t>
        </is>
      </c>
      <c r="D122" s="43" t="inlineStr">
        <is>
          <t>0</t>
        </is>
      </c>
      <c r="E122" s="44" t="inlineStr">
        <is>
          <t>ADCS_EN</t>
        </is>
      </c>
      <c r="F122" s="45" t="inlineStr">
        <is>
          <t>RW</t>
        </is>
      </c>
      <c r="G122" s="46" t="inlineStr">
        <is>
          <t>1=Enable ADCS telemetry (APID 0x101).</t>
        </is>
      </c>
    </row>
    <row r="123" ht="32" customHeight="1">
      <c r="A123" s="5" t="inlineStr">
        <is>
          <t>0x1050</t>
        </is>
      </c>
      <c r="B123" s="25" t="inlineStr">
        <is>
          <t>DBG_IMU_CNT</t>
        </is>
      </c>
      <c r="C123" s="26" t="inlineStr">
        <is>
          <t>31</t>
        </is>
      </c>
      <c r="D123" s="26" t="inlineStr">
        <is>
          <t>0</t>
        </is>
      </c>
      <c r="E123" s="27" t="inlineStr">
        <is>
          <t>IMU_CNT</t>
        </is>
      </c>
      <c r="F123" s="62" t="inlineStr">
        <is>
          <t>RO</t>
        </is>
      </c>
      <c r="G123" s="29" t="inlineStr">
        <is>
          <t>Running count of valid IMU SPI frames. Wraps at 2^32.</t>
        </is>
      </c>
    </row>
    <row r="124" ht="32" customHeight="1">
      <c r="A124" s="5" t="inlineStr">
        <is>
          <t>0x1054</t>
        </is>
      </c>
      <c r="B124" s="25" t="inlineStr">
        <is>
          <t>DBG_EKF_CNT</t>
        </is>
      </c>
      <c r="C124" s="26" t="inlineStr">
        <is>
          <t>31</t>
        </is>
      </c>
      <c r="D124" s="26" t="inlineStr">
        <is>
          <t>0</t>
        </is>
      </c>
      <c r="E124" s="27" t="inlineStr">
        <is>
          <t>EKF_CNT</t>
        </is>
      </c>
      <c r="F124" s="62" t="inlineStr">
        <is>
          <t>RO</t>
        </is>
      </c>
      <c r="G124" s="29" t="inlineStr">
        <is>
          <t>EKF predict steps since subsystem reset.</t>
        </is>
      </c>
    </row>
    <row r="125" ht="32" customHeight="1">
      <c r="A125" s="5" t="inlineStr">
        <is>
          <t>0x1058</t>
        </is>
      </c>
      <c r="B125" s="25" t="inlineStr">
        <is>
          <t>DBG_LASER_CNT</t>
        </is>
      </c>
      <c r="C125" s="26" t="inlineStr">
        <is>
          <t>31</t>
        </is>
      </c>
      <c r="D125" s="26" t="inlineStr">
        <is>
          <t>16</t>
        </is>
      </c>
      <c r="E125" s="27" t="inlineStr">
        <is>
          <t>ACQ_FAIL</t>
        </is>
      </c>
      <c r="F125" s="62" t="inlineStr">
        <is>
          <t>RO</t>
        </is>
      </c>
      <c r="G125" s="29" t="inlineStr">
        <is>
          <t>Failed acquisition attempts (SEARCH→ACQUIRE→SEARCH).</t>
        </is>
      </c>
    </row>
    <row r="126" ht="32" customHeight="1">
      <c r="A126" s="30" t="inlineStr">
        <is>
          <t>0x1058</t>
        </is>
      </c>
      <c r="B126" s="31" t="inlineStr">
        <is>
          <t>DBG_LASER_CNT</t>
        </is>
      </c>
      <c r="C126" s="32" t="inlineStr">
        <is>
          <t>15</t>
        </is>
      </c>
      <c r="D126" s="32" t="inlineStr">
        <is>
          <t>0</t>
        </is>
      </c>
      <c r="E126" s="33" t="inlineStr">
        <is>
          <t>ACQ_PASS</t>
        </is>
      </c>
      <c r="F126" s="63" t="inlineStr">
        <is>
          <t>RO</t>
        </is>
      </c>
      <c r="G126" s="35" t="inlineStr">
        <is>
          <t>Successful acquisitions (reached TRACK state).</t>
        </is>
      </c>
    </row>
    <row r="127" ht="32" customHeight="1">
      <c r="A127" s="5" t="inlineStr">
        <is>
          <t>0x105C</t>
        </is>
      </c>
      <c r="B127" s="25" t="inlineStr">
        <is>
          <t>DBG_FAULT_LOG</t>
        </is>
      </c>
      <c r="C127" s="26" t="inlineStr">
        <is>
          <t>31</t>
        </is>
      </c>
      <c r="D127" s="26" t="inlineStr">
        <is>
          <t>8</t>
        </is>
      </c>
      <c r="E127" s="27" t="inlineStr">
        <is>
          <t>RESERVED</t>
        </is>
      </c>
      <c r="F127" s="72" t="inlineStr">
        <is>
          <t>W1C</t>
        </is>
      </c>
      <c r="G127" s="29" t="inlineStr">
        <is>
          <t>Reserved.</t>
        </is>
      </c>
    </row>
    <row r="128" ht="32" customHeight="1">
      <c r="A128" s="30" t="inlineStr">
        <is>
          <t>0x105C</t>
        </is>
      </c>
      <c r="B128" s="31" t="inlineStr">
        <is>
          <t>DBG_FAULT_LOG</t>
        </is>
      </c>
      <c r="C128" s="32" t="inlineStr">
        <is>
          <t>7</t>
        </is>
      </c>
      <c r="D128" s="32" t="inlineStr">
        <is>
          <t>7</t>
        </is>
      </c>
      <c r="E128" s="33" t="inlineStr">
        <is>
          <t>EKF_DIVG</t>
        </is>
      </c>
      <c r="F128" s="73" t="inlineStr">
        <is>
          <t>W1C</t>
        </is>
      </c>
      <c r="G128" s="35" t="inlineStr">
        <is>
          <t>EKF covariance divergence detected.</t>
        </is>
      </c>
    </row>
    <row r="129" ht="32" customHeight="1">
      <c r="A129" s="24" t="inlineStr">
        <is>
          <t>0x105C</t>
        </is>
      </c>
      <c r="B129" s="36" t="inlineStr">
        <is>
          <t>DBG_FAULT_LOG</t>
        </is>
      </c>
      <c r="C129" s="37" t="inlineStr">
        <is>
          <t>6</t>
        </is>
      </c>
      <c r="D129" s="37" t="inlineStr">
        <is>
          <t>6</t>
        </is>
      </c>
      <c r="E129" s="38" t="inlineStr">
        <is>
          <t>RW_OVR</t>
        </is>
      </c>
      <c r="F129" s="74" t="inlineStr">
        <is>
          <t>W1C</t>
        </is>
      </c>
      <c r="G129" s="40" t="inlineStr">
        <is>
          <t>Reaction wheel speed over limit.</t>
        </is>
      </c>
    </row>
    <row r="130" ht="32" customHeight="1">
      <c r="A130" s="41" t="inlineStr">
        <is>
          <t>0x105C</t>
        </is>
      </c>
      <c r="B130" s="42" t="inlineStr">
        <is>
          <t>DBG_FAULT_LOG</t>
        </is>
      </c>
      <c r="C130" s="43" t="inlineStr">
        <is>
          <t>5</t>
        </is>
      </c>
      <c r="D130" s="43" t="inlineStr">
        <is>
          <t>5</t>
        </is>
      </c>
      <c r="E130" s="44" t="inlineStr">
        <is>
          <t>MAG_TMO</t>
        </is>
      </c>
      <c r="F130" s="75" t="inlineStr">
        <is>
          <t>W1C</t>
        </is>
      </c>
      <c r="G130" s="46" t="inlineStr">
        <is>
          <t>Magnetometer I2C timeout (&gt; 50 ms).</t>
        </is>
      </c>
    </row>
    <row r="131" ht="32" customHeight="1">
      <c r="A131" s="22" t="inlineStr">
        <is>
          <t>0x105C</t>
        </is>
      </c>
      <c r="B131" s="47" t="inlineStr">
        <is>
          <t>DBG_FAULT_LOG</t>
        </is>
      </c>
      <c r="C131" s="48" t="inlineStr">
        <is>
          <t>4</t>
        </is>
      </c>
      <c r="D131" s="48" t="inlineStr">
        <is>
          <t>4</t>
        </is>
      </c>
      <c r="E131" s="49" t="inlineStr">
        <is>
          <t>IMU_TMO</t>
        </is>
      </c>
      <c r="F131" s="76" t="inlineStr">
        <is>
          <t>W1C</t>
        </is>
      </c>
      <c r="G131" s="51" t="inlineStr">
        <is>
          <t>IMU SPI timeout (&gt; 200 ms without fresh data).</t>
        </is>
      </c>
    </row>
    <row r="132" ht="32" customHeight="1">
      <c r="A132" s="52" t="inlineStr">
        <is>
          <t>0x105C</t>
        </is>
      </c>
      <c r="B132" s="53" t="inlineStr">
        <is>
          <t>DBG_FAULT_LOG</t>
        </is>
      </c>
      <c r="C132" s="54" t="inlineStr">
        <is>
          <t>3</t>
        </is>
      </c>
      <c r="D132" s="54" t="inlineStr">
        <is>
          <t>3</t>
        </is>
      </c>
      <c r="E132" s="55" t="inlineStr">
        <is>
          <t>LASER_FLT</t>
        </is>
      </c>
      <c r="F132" s="77" t="inlineStr">
        <is>
          <t>W1C</t>
        </is>
      </c>
      <c r="G132" s="57" t="inlineStr">
        <is>
          <t>Laser FSM entered FAULT state.</t>
        </is>
      </c>
    </row>
    <row r="133" ht="32" customHeight="1">
      <c r="A133" s="58" t="inlineStr">
        <is>
          <t>0x105C</t>
        </is>
      </c>
      <c r="B133" s="59" t="inlineStr">
        <is>
          <t>DBG_FAULT_LOG</t>
        </is>
      </c>
      <c r="C133" s="60" t="inlineStr">
        <is>
          <t>2</t>
        </is>
      </c>
      <c r="D133" s="60" t="inlineStr">
        <is>
          <t>2</t>
        </is>
      </c>
      <c r="E133" s="16" t="inlineStr">
        <is>
          <t>COVAR_OVF</t>
        </is>
      </c>
      <c r="F133" s="17" t="inlineStr">
        <is>
          <t>W1C</t>
        </is>
      </c>
      <c r="G133" s="20" t="inlineStr">
        <is>
          <t>Covariance matrix diagonal element overflow.</t>
        </is>
      </c>
    </row>
    <row r="134" ht="32" customHeight="1">
      <c r="A134" s="69" t="inlineStr">
        <is>
          <t>0x105C</t>
        </is>
      </c>
      <c r="B134" s="70" t="inlineStr">
        <is>
          <t>DBG_FAULT_LOG</t>
        </is>
      </c>
      <c r="C134" s="71" t="inlineStr">
        <is>
          <t>1</t>
        </is>
      </c>
      <c r="D134" s="71" t="inlineStr">
        <is>
          <t>1</t>
        </is>
      </c>
      <c r="E134" s="11" t="inlineStr">
        <is>
          <t>ADCS_SAT3</t>
        </is>
      </c>
      <c r="F134" s="78" t="inlineStr">
        <is>
          <t>W1C</t>
        </is>
      </c>
      <c r="G134" s="15" t="inlineStr">
        <is>
          <t>All 3 axes saturated simultaneously.</t>
        </is>
      </c>
    </row>
    <row r="135" ht="32" customHeight="1">
      <c r="A135" s="5" t="inlineStr">
        <is>
          <t>0x105C</t>
        </is>
      </c>
      <c r="B135" s="25" t="inlineStr">
        <is>
          <t>DBG_FAULT_LOG</t>
        </is>
      </c>
      <c r="C135" s="26" t="inlineStr">
        <is>
          <t>0</t>
        </is>
      </c>
      <c r="D135" s="26" t="inlineStr">
        <is>
          <t>0</t>
        </is>
      </c>
      <c r="E135" s="27" t="inlineStr">
        <is>
          <t>ORBIT_INV</t>
        </is>
      </c>
      <c r="F135" s="72" t="inlineStr">
        <is>
          <t>W1C</t>
        </is>
      </c>
      <c r="G135" s="29" t="inlineStr">
        <is>
          <t>TLE epoch stale (&gt; 7 days); SGP4 accuracy degraded.</t>
        </is>
      </c>
    </row>
    <row r="136" ht="20" customHeight="1">
      <c r="A136" s="4" t="inlineStr">
        <is>
          <t>▶  CubeSat 3</t>
        </is>
      </c>
    </row>
    <row r="137" ht="32" customHeight="1">
      <c r="A137" s="5" t="inlineStr">
        <is>
          <t>0x2000</t>
        </is>
      </c>
      <c r="B137" s="25" t="inlineStr">
        <is>
          <t>CS_CTRL</t>
        </is>
      </c>
      <c r="C137" s="26" t="inlineStr">
        <is>
          <t>31</t>
        </is>
      </c>
      <c r="D137" s="26" t="inlineStr">
        <is>
          <t>16</t>
        </is>
      </c>
      <c r="E137" s="27" t="inlineStr">
        <is>
          <t>RESERVED</t>
        </is>
      </c>
      <c r="F137" s="28" t="inlineStr">
        <is>
          <t>RW</t>
        </is>
      </c>
      <c r="G137" s="29" t="inlineStr">
        <is>
          <t>Write 0; read returns 0.</t>
        </is>
      </c>
    </row>
    <row r="138" ht="32" customHeight="1">
      <c r="A138" s="30" t="inlineStr">
        <is>
          <t>0x2000</t>
        </is>
      </c>
      <c r="B138" s="31" t="inlineStr">
        <is>
          <t>CS_CTRL</t>
        </is>
      </c>
      <c r="C138" s="32" t="inlineStr">
        <is>
          <t>15</t>
        </is>
      </c>
      <c r="D138" s="32" t="inlineStr">
        <is>
          <t>12</t>
        </is>
      </c>
      <c r="E138" s="33" t="inlineStr">
        <is>
          <t>MODE</t>
        </is>
      </c>
      <c r="F138" s="34" t="inlineStr">
        <is>
          <t>RW</t>
        </is>
      </c>
      <c r="G138" s="35" t="inlineStr">
        <is>
          <t>ADCS operating mode: 0=DETUMBLE 1=COARSE 2=FINE 3=SAFE 4=MANEUVER</t>
        </is>
      </c>
    </row>
    <row r="139" ht="32" customHeight="1">
      <c r="A139" s="24" t="inlineStr">
        <is>
          <t>0x2000</t>
        </is>
      </c>
      <c r="B139" s="36" t="inlineStr">
        <is>
          <t>CS_CTRL</t>
        </is>
      </c>
      <c r="C139" s="37" t="inlineStr">
        <is>
          <t>11</t>
        </is>
      </c>
      <c r="D139" s="37" t="inlineStr">
        <is>
          <t>8</t>
        </is>
      </c>
      <c r="E139" s="38" t="inlineStr">
        <is>
          <t>ESTOP_CLR</t>
        </is>
      </c>
      <c r="F139" s="39" t="inlineStr">
        <is>
          <t>RW</t>
        </is>
      </c>
      <c r="G139" s="40" t="inlineStr">
        <is>
          <t>Write 0xA to clear ESTOP latch (software confirmation).</t>
        </is>
      </c>
    </row>
    <row r="140" ht="32" customHeight="1">
      <c r="A140" s="41" t="inlineStr">
        <is>
          <t>0x2000</t>
        </is>
      </c>
      <c r="B140" s="42" t="inlineStr">
        <is>
          <t>CS_CTRL</t>
        </is>
      </c>
      <c r="C140" s="43" t="inlineStr">
        <is>
          <t>3</t>
        </is>
      </c>
      <c r="D140" s="43" t="inlineStr">
        <is>
          <t>3</t>
        </is>
      </c>
      <c r="E140" s="44" t="inlineStr">
        <is>
          <t>EKF_EN</t>
        </is>
      </c>
      <c r="F140" s="45" t="inlineStr">
        <is>
          <t>RW</t>
        </is>
      </c>
      <c r="G140" s="46" t="inlineStr">
        <is>
          <t>1=Enable quaternion EKF; 0=freeze EKF state.</t>
        </is>
      </c>
    </row>
    <row r="141" ht="32" customHeight="1">
      <c r="A141" s="22" t="inlineStr">
        <is>
          <t>0x2000</t>
        </is>
      </c>
      <c r="B141" s="47" t="inlineStr">
        <is>
          <t>CS_CTRL</t>
        </is>
      </c>
      <c r="C141" s="48" t="inlineStr">
        <is>
          <t>2</t>
        </is>
      </c>
      <c r="D141" s="48" t="inlineStr">
        <is>
          <t>2</t>
        </is>
      </c>
      <c r="E141" s="49" t="inlineStr">
        <is>
          <t>ADCS_EN</t>
        </is>
      </c>
      <c r="F141" s="50" t="inlineStr">
        <is>
          <t>RW</t>
        </is>
      </c>
      <c r="G141" s="51" t="inlineStr">
        <is>
          <t>1=Enable ADCS control outputs; 0=zero all actuators.</t>
        </is>
      </c>
    </row>
    <row r="142" ht="32" customHeight="1">
      <c r="A142" s="52" t="inlineStr">
        <is>
          <t>0x2000</t>
        </is>
      </c>
      <c r="B142" s="53" t="inlineStr">
        <is>
          <t>CS_CTRL</t>
        </is>
      </c>
      <c r="C142" s="54" t="inlineStr">
        <is>
          <t>1</t>
        </is>
      </c>
      <c r="D142" s="54" t="inlineStr">
        <is>
          <t>1</t>
        </is>
      </c>
      <c r="E142" s="55" t="inlineStr">
        <is>
          <t>SOFT_RST</t>
        </is>
      </c>
      <c r="F142" s="56" t="inlineStr">
        <is>
          <t>RW</t>
        </is>
      </c>
      <c r="G142" s="57" t="inlineStr">
        <is>
          <t>Write 1 asserts 8-cycle soft reset (self-clearing).</t>
        </is>
      </c>
    </row>
    <row r="143" ht="32" customHeight="1">
      <c r="A143" s="58" t="inlineStr">
        <is>
          <t>0x2000</t>
        </is>
      </c>
      <c r="B143" s="59" t="inlineStr">
        <is>
          <t>CS_CTRL</t>
        </is>
      </c>
      <c r="C143" s="60" t="inlineStr">
        <is>
          <t>0</t>
        </is>
      </c>
      <c r="D143" s="60" t="inlineStr">
        <is>
          <t>0</t>
        </is>
      </c>
      <c r="E143" s="16" t="inlineStr">
        <is>
          <t>CS_EN</t>
        </is>
      </c>
      <c r="F143" s="61" t="inlineStr">
        <is>
          <t>RW</t>
        </is>
      </c>
      <c r="G143" s="20" t="inlineStr">
        <is>
          <t>1=CubeSat subsystem enabled; 0=all outputs tri-stated.</t>
        </is>
      </c>
    </row>
    <row r="144" ht="32" customHeight="1">
      <c r="A144" s="5" t="inlineStr">
        <is>
          <t>0x2004</t>
        </is>
      </c>
      <c r="B144" s="25" t="inlineStr">
        <is>
          <t>CS_STATUS</t>
        </is>
      </c>
      <c r="C144" s="26" t="inlineStr">
        <is>
          <t>31</t>
        </is>
      </c>
      <c r="D144" s="26" t="inlineStr">
        <is>
          <t>28</t>
        </is>
      </c>
      <c r="E144" s="27" t="inlineStr">
        <is>
          <t>RESERVED</t>
        </is>
      </c>
      <c r="F144" s="62" t="inlineStr">
        <is>
          <t>RO</t>
        </is>
      </c>
      <c r="G144" s="29" t="inlineStr">
        <is>
          <t>Reserved.</t>
        </is>
      </c>
    </row>
    <row r="145" ht="32" customHeight="1">
      <c r="A145" s="30" t="inlineStr">
        <is>
          <t>0x2004</t>
        </is>
      </c>
      <c r="B145" s="31" t="inlineStr">
        <is>
          <t>CS_STATUS</t>
        </is>
      </c>
      <c r="C145" s="32" t="inlineStr">
        <is>
          <t>27</t>
        </is>
      </c>
      <c r="D145" s="32" t="inlineStr">
        <is>
          <t>24</t>
        </is>
      </c>
      <c r="E145" s="33" t="inlineStr">
        <is>
          <t>ADCS_STATE</t>
        </is>
      </c>
      <c r="F145" s="63" t="inlineStr">
        <is>
          <t>RO</t>
        </is>
      </c>
      <c r="G145" s="35" t="inlineStr">
        <is>
          <t>0=BOOT 1=DETUMBLE 2=COARSE 3=FINE 4=SAFE</t>
        </is>
      </c>
    </row>
    <row r="146" ht="32" customHeight="1">
      <c r="A146" s="24" t="inlineStr">
        <is>
          <t>0x2004</t>
        </is>
      </c>
      <c r="B146" s="36" t="inlineStr">
        <is>
          <t>CS_STATUS</t>
        </is>
      </c>
      <c r="C146" s="37" t="inlineStr">
        <is>
          <t>23</t>
        </is>
      </c>
      <c r="D146" s="37" t="inlineStr">
        <is>
          <t>20</t>
        </is>
      </c>
      <c r="E146" s="38" t="inlineStr">
        <is>
          <t>LASER_STATE</t>
        </is>
      </c>
      <c r="F146" s="64" t="inlineStr">
        <is>
          <t>RO</t>
        </is>
      </c>
      <c r="G146" s="40" t="inlineStr">
        <is>
          <t>0=IDLE 1=SEARCH 2=ACQUIRE 3=TRACK 4=COMM 5=FAULT</t>
        </is>
      </c>
    </row>
    <row r="147" ht="32" customHeight="1">
      <c r="A147" s="41" t="inlineStr">
        <is>
          <t>0x2004</t>
        </is>
      </c>
      <c r="B147" s="42" t="inlineStr">
        <is>
          <t>CS_STATUS</t>
        </is>
      </c>
      <c r="C147" s="43" t="inlineStr">
        <is>
          <t>19</t>
        </is>
      </c>
      <c r="D147" s="43" t="inlineStr">
        <is>
          <t>16</t>
        </is>
      </c>
      <c r="E147" s="44" t="inlineStr">
        <is>
          <t>FAULT_CODE</t>
        </is>
      </c>
      <c r="F147" s="65" t="inlineStr">
        <is>
          <t>RO</t>
        </is>
      </c>
      <c r="G147" s="46" t="inlineStr">
        <is>
          <t>0=none 1=IMU_TMO 2=MAG_ERR 3=RW_FLT 4=COVAR_OVF</t>
        </is>
      </c>
    </row>
    <row r="148" ht="32" customHeight="1">
      <c r="A148" s="22" t="inlineStr">
        <is>
          <t>0x2004</t>
        </is>
      </c>
      <c r="B148" s="47" t="inlineStr">
        <is>
          <t>CS_STATUS</t>
        </is>
      </c>
      <c r="C148" s="48" t="inlineStr">
        <is>
          <t>15</t>
        </is>
      </c>
      <c r="D148" s="48" t="inlineStr">
        <is>
          <t>15</t>
        </is>
      </c>
      <c r="E148" s="49" t="inlineStr">
        <is>
          <t>EKF_CONV</t>
        </is>
      </c>
      <c r="F148" s="66" t="inlineStr">
        <is>
          <t>RO</t>
        </is>
      </c>
      <c r="G148" s="51" t="inlineStr">
        <is>
          <t>1=EKF converged (covariance below threshold).</t>
        </is>
      </c>
    </row>
    <row r="149" ht="32" customHeight="1">
      <c r="A149" s="52" t="inlineStr">
        <is>
          <t>0x2004</t>
        </is>
      </c>
      <c r="B149" s="53" t="inlineStr">
        <is>
          <t>CS_STATUS</t>
        </is>
      </c>
      <c r="C149" s="54" t="inlineStr">
        <is>
          <t>14</t>
        </is>
      </c>
      <c r="D149" s="54" t="inlineStr">
        <is>
          <t>14</t>
        </is>
      </c>
      <c r="E149" s="55" t="inlineStr">
        <is>
          <t>ESTOP_ACTIVE</t>
        </is>
      </c>
      <c r="F149" s="67" t="inlineStr">
        <is>
          <t>RO</t>
        </is>
      </c>
      <c r="G149" s="57" t="inlineStr">
        <is>
          <t>1=Fleet E-STOP currently asserted.</t>
        </is>
      </c>
    </row>
    <row r="150" ht="32" customHeight="1">
      <c r="A150" s="58" t="inlineStr">
        <is>
          <t>0x2004</t>
        </is>
      </c>
      <c r="B150" s="59" t="inlineStr">
        <is>
          <t>CS_STATUS</t>
        </is>
      </c>
      <c r="C150" s="60" t="inlineStr">
        <is>
          <t>13</t>
        </is>
      </c>
      <c r="D150" s="60" t="inlineStr">
        <is>
          <t>13</t>
        </is>
      </c>
      <c r="E150" s="16" t="inlineStr">
        <is>
          <t>SAT_OVF</t>
        </is>
      </c>
      <c r="F150" s="68" t="inlineStr">
        <is>
          <t>RO</t>
        </is>
      </c>
      <c r="G150" s="20" t="inlineStr">
        <is>
          <t>1=At least one control axis saturated this cycle.</t>
        </is>
      </c>
    </row>
    <row r="151" ht="32" customHeight="1">
      <c r="A151" s="69" t="inlineStr">
        <is>
          <t>0x2004</t>
        </is>
      </c>
      <c r="B151" s="70" t="inlineStr">
        <is>
          <t>CS_STATUS</t>
        </is>
      </c>
      <c r="C151" s="71" t="inlineStr">
        <is>
          <t>12</t>
        </is>
      </c>
      <c r="D151" s="71" t="inlineStr">
        <is>
          <t>12</t>
        </is>
      </c>
      <c r="E151" s="11" t="inlineStr">
        <is>
          <t>IMU_LOCK</t>
        </is>
      </c>
      <c r="F151" s="12" t="inlineStr">
        <is>
          <t>RO</t>
        </is>
      </c>
      <c r="G151" s="15" t="inlineStr">
        <is>
          <t>1=IMU SPI healthy (refreshed at 100 Hz).</t>
        </is>
      </c>
    </row>
    <row r="152" ht="32" customHeight="1">
      <c r="A152" s="5" t="inlineStr">
        <is>
          <t>0x2004</t>
        </is>
      </c>
      <c r="B152" s="25" t="inlineStr">
        <is>
          <t>CS_STATUS</t>
        </is>
      </c>
      <c r="C152" s="26" t="inlineStr">
        <is>
          <t>11</t>
        </is>
      </c>
      <c r="D152" s="26" t="inlineStr">
        <is>
          <t>11</t>
        </is>
      </c>
      <c r="E152" s="27" t="inlineStr">
        <is>
          <t>MAG_LOCK</t>
        </is>
      </c>
      <c r="F152" s="62" t="inlineStr">
        <is>
          <t>RO</t>
        </is>
      </c>
      <c r="G152" s="29" t="inlineStr">
        <is>
          <t>1=Magnetometer I2C healthy.</t>
        </is>
      </c>
    </row>
    <row r="153" ht="32" customHeight="1">
      <c r="A153" s="30" t="inlineStr">
        <is>
          <t>0x2004</t>
        </is>
      </c>
      <c r="B153" s="31" t="inlineStr">
        <is>
          <t>CS_STATUS</t>
        </is>
      </c>
      <c r="C153" s="32" t="inlineStr">
        <is>
          <t>10</t>
        </is>
      </c>
      <c r="D153" s="32" t="inlineStr">
        <is>
          <t>10</t>
        </is>
      </c>
      <c r="E153" s="33" t="inlineStr">
        <is>
          <t>LASER_TRACK</t>
        </is>
      </c>
      <c r="F153" s="63" t="inlineStr">
        <is>
          <t>RO</t>
        </is>
      </c>
      <c r="G153" s="35" t="inlineStr">
        <is>
          <t>1=Laser in TRACK state (error &lt; 0.05 RMS).</t>
        </is>
      </c>
    </row>
    <row r="154" ht="32" customHeight="1">
      <c r="A154" s="24" t="inlineStr">
        <is>
          <t>0x2004</t>
        </is>
      </c>
      <c r="B154" s="36" t="inlineStr">
        <is>
          <t>CS_STATUS</t>
        </is>
      </c>
      <c r="C154" s="37" t="inlineStr">
        <is>
          <t>9</t>
        </is>
      </c>
      <c r="D154" s="37" t="inlineStr">
        <is>
          <t>9</t>
        </is>
      </c>
      <c r="E154" s="38" t="inlineStr">
        <is>
          <t>LASER_COMM</t>
        </is>
      </c>
      <c r="F154" s="64" t="inlineStr">
        <is>
          <t>RO</t>
        </is>
      </c>
      <c r="G154" s="40" t="inlineStr">
        <is>
          <t>1=Laser in COMM state (optical link active).</t>
        </is>
      </c>
    </row>
    <row r="155" ht="32" customHeight="1">
      <c r="A155" s="41" t="inlineStr">
        <is>
          <t>0x2004</t>
        </is>
      </c>
      <c r="B155" s="42" t="inlineStr">
        <is>
          <t>CS_STATUS</t>
        </is>
      </c>
      <c r="C155" s="43" t="inlineStr">
        <is>
          <t>8</t>
        </is>
      </c>
      <c r="D155" s="43" t="inlineStr">
        <is>
          <t>8</t>
        </is>
      </c>
      <c r="E155" s="44" t="inlineStr">
        <is>
          <t>ORBIT_VALID</t>
        </is>
      </c>
      <c r="F155" s="65" t="inlineStr">
        <is>
          <t>RO</t>
        </is>
      </c>
      <c r="G155" s="46" t="inlineStr">
        <is>
          <t>1=SGP4 orbit solution valid (TLE loaded, epoch &lt; 7 days).</t>
        </is>
      </c>
    </row>
    <row r="156" ht="32" customHeight="1">
      <c r="A156" s="22" t="inlineStr">
        <is>
          <t>0x2004</t>
        </is>
      </c>
      <c r="B156" s="47" t="inlineStr">
        <is>
          <t>CS_STATUS</t>
        </is>
      </c>
      <c r="C156" s="48" t="inlineStr">
        <is>
          <t>7</t>
        </is>
      </c>
      <c r="D156" s="48" t="inlineStr">
        <is>
          <t>4</t>
        </is>
      </c>
      <c r="E156" s="49" t="inlineStr">
        <is>
          <t>RESERVED2</t>
        </is>
      </c>
      <c r="F156" s="66" t="inlineStr">
        <is>
          <t>RO</t>
        </is>
      </c>
      <c r="G156" s="51" t="inlineStr">
        <is>
          <t>Reserved.</t>
        </is>
      </c>
    </row>
    <row r="157" ht="32" customHeight="1">
      <c r="A157" s="52" t="inlineStr">
        <is>
          <t>0x2004</t>
        </is>
      </c>
      <c r="B157" s="53" t="inlineStr">
        <is>
          <t>CS_STATUS</t>
        </is>
      </c>
      <c r="C157" s="54" t="inlineStr">
        <is>
          <t>3</t>
        </is>
      </c>
      <c r="D157" s="54" t="inlineStr">
        <is>
          <t>0</t>
        </is>
      </c>
      <c r="E157" s="55" t="inlineStr">
        <is>
          <t>WDT_COUNT</t>
        </is>
      </c>
      <c r="F157" s="67" t="inlineStr">
        <is>
          <t>RO</t>
        </is>
      </c>
      <c r="G157" s="57" t="inlineStr">
        <is>
          <t>Watchdog kick count modulo 16.</t>
        </is>
      </c>
    </row>
    <row r="158" ht="32" customHeight="1">
      <c r="A158" s="5" t="inlineStr">
        <is>
          <t>0x2008</t>
        </is>
      </c>
      <c r="B158" s="25" t="inlineStr">
        <is>
          <t>EKF_Q_QUAT</t>
        </is>
      </c>
      <c r="C158" s="26" t="inlineStr">
        <is>
          <t>31</t>
        </is>
      </c>
      <c r="D158" s="26" t="inlineStr">
        <is>
          <t>0</t>
        </is>
      </c>
      <c r="E158" s="27" t="inlineStr">
        <is>
          <t>Q_QUAT</t>
        </is>
      </c>
      <c r="F158" s="28" t="inlineStr">
        <is>
          <t>RW</t>
        </is>
      </c>
      <c r="G158" s="29" t="inlineStr">
        <is>
          <t>Quaternion process noise Q4.28. 0.01 × 2^28 = 0x00A3D70A.</t>
        </is>
      </c>
    </row>
    <row r="159" ht="32" customHeight="1">
      <c r="A159" s="5" t="inlineStr">
        <is>
          <t>0x200C</t>
        </is>
      </c>
      <c r="B159" s="25" t="inlineStr">
        <is>
          <t>EKF_Q_BIAS</t>
        </is>
      </c>
      <c r="C159" s="26" t="inlineStr">
        <is>
          <t>31</t>
        </is>
      </c>
      <c r="D159" s="26" t="inlineStr">
        <is>
          <t>0</t>
        </is>
      </c>
      <c r="E159" s="27" t="inlineStr">
        <is>
          <t>Q_BIAS</t>
        </is>
      </c>
      <c r="F159" s="28" t="inlineStr">
        <is>
          <t>RW</t>
        </is>
      </c>
      <c r="G159" s="29" t="inlineStr">
        <is>
          <t>Gyro bias noise Q4.28. 0.001 × 2^28 = 0x000010C7.</t>
        </is>
      </c>
    </row>
    <row r="160" ht="32" customHeight="1">
      <c r="A160" s="5" t="inlineStr">
        <is>
          <t>0x2010</t>
        </is>
      </c>
      <c r="B160" s="25" t="inlineStr">
        <is>
          <t>EKF_R_GYRO</t>
        </is>
      </c>
      <c r="C160" s="26" t="inlineStr">
        <is>
          <t>31</t>
        </is>
      </c>
      <c r="D160" s="26" t="inlineStr">
        <is>
          <t>0</t>
        </is>
      </c>
      <c r="E160" s="27" t="inlineStr">
        <is>
          <t>R_GYRO</t>
        </is>
      </c>
      <c r="F160" s="28" t="inlineStr">
        <is>
          <t>RW</t>
        </is>
      </c>
      <c r="G160" s="29" t="inlineStr">
        <is>
          <t>Gyro noise variance Q4.28.</t>
        </is>
      </c>
    </row>
    <row r="161" ht="32" customHeight="1">
      <c r="A161" s="5" t="inlineStr">
        <is>
          <t>0x2014</t>
        </is>
      </c>
      <c r="B161" s="25" t="inlineStr">
        <is>
          <t>EKF_R_MAG</t>
        </is>
      </c>
      <c r="C161" s="26" t="inlineStr">
        <is>
          <t>31</t>
        </is>
      </c>
      <c r="D161" s="26" t="inlineStr">
        <is>
          <t>0</t>
        </is>
      </c>
      <c r="E161" s="27" t="inlineStr">
        <is>
          <t>R_MAG</t>
        </is>
      </c>
      <c r="F161" s="28" t="inlineStr">
        <is>
          <t>RW</t>
        </is>
      </c>
      <c r="G161" s="29" t="inlineStr">
        <is>
          <t>Magnetometer noise Q1.30.</t>
        </is>
      </c>
    </row>
    <row r="162" ht="32" customHeight="1">
      <c r="A162" s="5" t="inlineStr">
        <is>
          <t>0x2018</t>
        </is>
      </c>
      <c r="B162" s="25" t="inlineStr">
        <is>
          <t>ADCS_KP</t>
        </is>
      </c>
      <c r="C162" s="26" t="inlineStr">
        <is>
          <t>31</t>
        </is>
      </c>
      <c r="D162" s="26" t="inlineStr">
        <is>
          <t>16</t>
        </is>
      </c>
      <c r="E162" s="27" t="inlineStr">
        <is>
          <t>RESERVED</t>
        </is>
      </c>
      <c r="F162" s="28" t="inlineStr">
        <is>
          <t>RW</t>
        </is>
      </c>
      <c r="G162" s="29" t="inlineStr">
        <is>
          <t>Reserved.</t>
        </is>
      </c>
    </row>
    <row r="163" ht="32" customHeight="1">
      <c r="A163" s="30" t="inlineStr">
        <is>
          <t>0x2018</t>
        </is>
      </c>
      <c r="B163" s="31" t="inlineStr">
        <is>
          <t>ADCS_KP</t>
        </is>
      </c>
      <c r="C163" s="32" t="inlineStr">
        <is>
          <t>15</t>
        </is>
      </c>
      <c r="D163" s="32" t="inlineStr">
        <is>
          <t>0</t>
        </is>
      </c>
      <c r="E163" s="33" t="inlineStr">
        <is>
          <t>KP</t>
        </is>
      </c>
      <c r="F163" s="34" t="inlineStr">
        <is>
          <t>RW</t>
        </is>
      </c>
      <c r="G163" s="35" t="inlineStr">
        <is>
          <t>Kp Q4.12. Range [0, 15.999].</t>
        </is>
      </c>
    </row>
    <row r="164" ht="32" customHeight="1">
      <c r="A164" s="5" t="inlineStr">
        <is>
          <t>0x201C</t>
        </is>
      </c>
      <c r="B164" s="25" t="inlineStr">
        <is>
          <t>ADCS_KD</t>
        </is>
      </c>
      <c r="C164" s="26" t="inlineStr">
        <is>
          <t>31</t>
        </is>
      </c>
      <c r="D164" s="26" t="inlineStr">
        <is>
          <t>16</t>
        </is>
      </c>
      <c r="E164" s="27" t="inlineStr">
        <is>
          <t>RESERVED</t>
        </is>
      </c>
      <c r="F164" s="28" t="inlineStr">
        <is>
          <t>RW</t>
        </is>
      </c>
      <c r="G164" s="29" t="inlineStr">
        <is>
          <t>Reserved.</t>
        </is>
      </c>
    </row>
    <row r="165" ht="32" customHeight="1">
      <c r="A165" s="30" t="inlineStr">
        <is>
          <t>0x201C</t>
        </is>
      </c>
      <c r="B165" s="31" t="inlineStr">
        <is>
          <t>ADCS_KD</t>
        </is>
      </c>
      <c r="C165" s="32" t="inlineStr">
        <is>
          <t>15</t>
        </is>
      </c>
      <c r="D165" s="32" t="inlineStr">
        <is>
          <t>0</t>
        </is>
      </c>
      <c r="E165" s="33" t="inlineStr">
        <is>
          <t>KD</t>
        </is>
      </c>
      <c r="F165" s="34" t="inlineStr">
        <is>
          <t>RW</t>
        </is>
      </c>
      <c r="G165" s="35" t="inlineStr">
        <is>
          <t>Kd Q4.12.</t>
        </is>
      </c>
    </row>
    <row r="166" ht="32" customHeight="1">
      <c r="A166" s="5" t="inlineStr">
        <is>
          <t>0x2020</t>
        </is>
      </c>
      <c r="B166" s="25" t="inlineStr">
        <is>
          <t>ADCS_KI</t>
        </is>
      </c>
      <c r="C166" s="26" t="inlineStr">
        <is>
          <t>31</t>
        </is>
      </c>
      <c r="D166" s="26" t="inlineStr">
        <is>
          <t>16</t>
        </is>
      </c>
      <c r="E166" s="27" t="inlineStr">
        <is>
          <t>RESERVED</t>
        </is>
      </c>
      <c r="F166" s="28" t="inlineStr">
        <is>
          <t>RW</t>
        </is>
      </c>
      <c r="G166" s="29" t="inlineStr">
        <is>
          <t>Reserved.</t>
        </is>
      </c>
    </row>
    <row r="167" ht="32" customHeight="1">
      <c r="A167" s="30" t="inlineStr">
        <is>
          <t>0x2020</t>
        </is>
      </c>
      <c r="B167" s="31" t="inlineStr">
        <is>
          <t>ADCS_KI</t>
        </is>
      </c>
      <c r="C167" s="32" t="inlineStr">
        <is>
          <t>15</t>
        </is>
      </c>
      <c r="D167" s="32" t="inlineStr">
        <is>
          <t>0</t>
        </is>
      </c>
      <c r="E167" s="33" t="inlineStr">
        <is>
          <t>KI</t>
        </is>
      </c>
      <c r="F167" s="34" t="inlineStr">
        <is>
          <t>RW</t>
        </is>
      </c>
      <c r="G167" s="35" t="inlineStr">
        <is>
          <t>Ki Q4.12. Set 0 to disable integration.</t>
        </is>
      </c>
    </row>
    <row r="168" ht="32" customHeight="1">
      <c r="A168" s="5" t="inlineStr">
        <is>
          <t>0x2024</t>
        </is>
      </c>
      <c r="B168" s="25" t="inlineStr">
        <is>
          <t>ADCS_SAT</t>
        </is>
      </c>
      <c r="C168" s="26" t="inlineStr">
        <is>
          <t>31</t>
        </is>
      </c>
      <c r="D168" s="26" t="inlineStr">
        <is>
          <t>16</t>
        </is>
      </c>
      <c r="E168" s="27" t="inlineStr">
        <is>
          <t>SAT_MAX</t>
        </is>
      </c>
      <c r="F168" s="28" t="inlineStr">
        <is>
          <t>RW</t>
        </is>
      </c>
      <c r="G168" s="29" t="inlineStr">
        <is>
          <t>Upper saturation Q1.15. Default 0x7FFF = +0.9999.</t>
        </is>
      </c>
    </row>
    <row r="169" ht="32" customHeight="1">
      <c r="A169" s="30" t="inlineStr">
        <is>
          <t>0x2024</t>
        </is>
      </c>
      <c r="B169" s="31" t="inlineStr">
        <is>
          <t>ADCS_SAT</t>
        </is>
      </c>
      <c r="C169" s="32" t="inlineStr">
        <is>
          <t>15</t>
        </is>
      </c>
      <c r="D169" s="32" t="inlineStr">
        <is>
          <t>0</t>
        </is>
      </c>
      <c r="E169" s="33" t="inlineStr">
        <is>
          <t>SAT_MIN</t>
        </is>
      </c>
      <c r="F169" s="34" t="inlineStr">
        <is>
          <t>RW</t>
        </is>
      </c>
      <c r="G169" s="35" t="inlineStr">
        <is>
          <t>Lower saturation Q1.15. Default 0x8001 = -0.9999.</t>
        </is>
      </c>
    </row>
    <row r="170" ht="32" customHeight="1">
      <c r="A170" s="5" t="inlineStr">
        <is>
          <t>0x2028</t>
        </is>
      </c>
      <c r="B170" s="25" t="inlineStr">
        <is>
          <t>RW_SPEED_LIM</t>
        </is>
      </c>
      <c r="C170" s="26" t="inlineStr">
        <is>
          <t>31</t>
        </is>
      </c>
      <c r="D170" s="26" t="inlineStr">
        <is>
          <t>16</t>
        </is>
      </c>
      <c r="E170" s="27" t="inlineStr">
        <is>
          <t>RESERVED</t>
        </is>
      </c>
      <c r="F170" s="28" t="inlineStr">
        <is>
          <t>RW</t>
        </is>
      </c>
      <c r="G170" s="29" t="inlineStr">
        <is>
          <t>Reserved.</t>
        </is>
      </c>
    </row>
    <row r="171" ht="32" customHeight="1">
      <c r="A171" s="30" t="inlineStr">
        <is>
          <t>0x2028</t>
        </is>
      </c>
      <c r="B171" s="31" t="inlineStr">
        <is>
          <t>RW_SPEED_LIM</t>
        </is>
      </c>
      <c r="C171" s="32" t="inlineStr">
        <is>
          <t>15</t>
        </is>
      </c>
      <c r="D171" s="32" t="inlineStr">
        <is>
          <t>0</t>
        </is>
      </c>
      <c r="E171" s="33" t="inlineStr">
        <is>
          <t>RW_MAX</t>
        </is>
      </c>
      <c r="F171" s="34" t="inlineStr">
        <is>
          <t>RW</t>
        </is>
      </c>
      <c r="G171" s="35" t="inlineStr">
        <is>
          <t>RW max speed Q4.12. Default 0x3FFF ≈ 4.0.</t>
        </is>
      </c>
    </row>
    <row r="172" ht="32" customHeight="1">
      <c r="A172" s="5" t="inlineStr">
        <is>
          <t>0x202C</t>
        </is>
      </c>
      <c r="B172" s="25" t="inlineStr">
        <is>
          <t>MTQ_SCALE</t>
        </is>
      </c>
      <c r="C172" s="26" t="inlineStr">
        <is>
          <t>31</t>
        </is>
      </c>
      <c r="D172" s="26" t="inlineStr">
        <is>
          <t>16</t>
        </is>
      </c>
      <c r="E172" s="27" t="inlineStr">
        <is>
          <t>RESERVED</t>
        </is>
      </c>
      <c r="F172" s="28" t="inlineStr">
        <is>
          <t>RW</t>
        </is>
      </c>
      <c r="G172" s="29" t="inlineStr">
        <is>
          <t>Reserved.</t>
        </is>
      </c>
    </row>
    <row r="173" ht="32" customHeight="1">
      <c r="A173" s="30" t="inlineStr">
        <is>
          <t>0x202C</t>
        </is>
      </c>
      <c r="B173" s="31" t="inlineStr">
        <is>
          <t>MTQ_SCALE</t>
        </is>
      </c>
      <c r="C173" s="32" t="inlineStr">
        <is>
          <t>15</t>
        </is>
      </c>
      <c r="D173" s="32" t="inlineStr">
        <is>
          <t>0</t>
        </is>
      </c>
      <c r="E173" s="33" t="inlineStr">
        <is>
          <t>MTQ_SCALE</t>
        </is>
      </c>
      <c r="F173" s="34" t="inlineStr">
        <is>
          <t>RW</t>
        </is>
      </c>
      <c r="G173" s="35" t="inlineStr">
        <is>
          <t>Scale Q4.12.</t>
        </is>
      </c>
    </row>
    <row r="174" ht="32" customHeight="1">
      <c r="A174" s="5" t="inlineStr">
        <is>
          <t>0x2030</t>
        </is>
      </c>
      <c r="B174" s="25" t="inlineStr">
        <is>
          <t>LASER_RANGE</t>
        </is>
      </c>
      <c r="C174" s="26" t="inlineStr">
        <is>
          <t>31</t>
        </is>
      </c>
      <c r="D174" s="26" t="inlineStr">
        <is>
          <t>16</t>
        </is>
      </c>
      <c r="E174" s="27" t="inlineStr">
        <is>
          <t>AZ_HALF_DEG100</t>
        </is>
      </c>
      <c r="F174" s="28" t="inlineStr">
        <is>
          <t>RW</t>
        </is>
      </c>
      <c r="G174" s="29" t="inlineStr">
        <is>
          <t>Azimuth half-range ×0.01 degrees. Default 0x00A0 = 160 = ±10.00°.</t>
        </is>
      </c>
    </row>
    <row r="175" ht="32" customHeight="1">
      <c r="A175" s="30" t="inlineStr">
        <is>
          <t>0x2030</t>
        </is>
      </c>
      <c r="B175" s="31" t="inlineStr">
        <is>
          <t>LASER_RANGE</t>
        </is>
      </c>
      <c r="C175" s="32" t="inlineStr">
        <is>
          <t>15</t>
        </is>
      </c>
      <c r="D175" s="32" t="inlineStr">
        <is>
          <t>0</t>
        </is>
      </c>
      <c r="E175" s="33" t="inlineStr">
        <is>
          <t>EL_HALF_DEG100</t>
        </is>
      </c>
      <c r="F175" s="34" t="inlineStr">
        <is>
          <t>RW</t>
        </is>
      </c>
      <c r="G175" s="35" t="inlineStr">
        <is>
          <t>Elevation half-range ×0.01 degrees. Default 0x0050 = 80 = ±5.00°.</t>
        </is>
      </c>
    </row>
    <row r="176" ht="32" customHeight="1">
      <c r="A176" s="5" t="inlineStr">
        <is>
          <t>0x2034</t>
        </is>
      </c>
      <c r="B176" s="25" t="inlineStr">
        <is>
          <t>LASER_THRESH</t>
        </is>
      </c>
      <c r="C176" s="26" t="inlineStr">
        <is>
          <t>31</t>
        </is>
      </c>
      <c r="D176" s="26" t="inlineStr">
        <is>
          <t>16</t>
        </is>
      </c>
      <c r="E176" s="27" t="inlineStr">
        <is>
          <t>TRACK_THRESH</t>
        </is>
      </c>
      <c r="F176" s="28" t="inlineStr">
        <is>
          <t>RW</t>
        </is>
      </c>
      <c r="G176" s="29" t="inlineStr">
        <is>
          <t>12-bit ADC threshold for TRACK state. Upper 16-bit field.</t>
        </is>
      </c>
    </row>
    <row r="177" ht="32" customHeight="1">
      <c r="A177" s="30" t="inlineStr">
        <is>
          <t>0x2034</t>
        </is>
      </c>
      <c r="B177" s="31" t="inlineStr">
        <is>
          <t>LASER_THRESH</t>
        </is>
      </c>
      <c r="C177" s="32" t="inlineStr">
        <is>
          <t>15</t>
        </is>
      </c>
      <c r="D177" s="32" t="inlineStr">
        <is>
          <t>0</t>
        </is>
      </c>
      <c r="E177" s="33" t="inlineStr">
        <is>
          <t>ACQ_THRESH</t>
        </is>
      </c>
      <c r="F177" s="34" t="inlineStr">
        <is>
          <t>RW</t>
        </is>
      </c>
      <c r="G177" s="35" t="inlineStr">
        <is>
          <t>12-bit ADC threshold for ACQUIRE→TRACK.</t>
        </is>
      </c>
    </row>
    <row r="178" ht="32" customHeight="1">
      <c r="A178" s="5" t="inlineStr">
        <is>
          <t>0x2038</t>
        </is>
      </c>
      <c r="B178" s="25" t="inlineStr">
        <is>
          <t>LASER_STEP_RATE</t>
        </is>
      </c>
      <c r="C178" s="26" t="inlineStr">
        <is>
          <t>31</t>
        </is>
      </c>
      <c r="D178" s="26" t="inlineStr">
        <is>
          <t>16</t>
        </is>
      </c>
      <c r="E178" s="27" t="inlineStr">
        <is>
          <t>AZ_RATE</t>
        </is>
      </c>
      <c r="F178" s="28" t="inlineStr">
        <is>
          <t>RW</t>
        </is>
      </c>
      <c r="G178" s="29" t="inlineStr">
        <is>
          <t>Azimuth max step rate. Default 0x1388 = 5000 steps/s.</t>
        </is>
      </c>
    </row>
    <row r="179" ht="32" customHeight="1">
      <c r="A179" s="30" t="inlineStr">
        <is>
          <t>0x2038</t>
        </is>
      </c>
      <c r="B179" s="31" t="inlineStr">
        <is>
          <t>LASER_STEP_RATE</t>
        </is>
      </c>
      <c r="C179" s="32" t="inlineStr">
        <is>
          <t>15</t>
        </is>
      </c>
      <c r="D179" s="32" t="inlineStr">
        <is>
          <t>0</t>
        </is>
      </c>
      <c r="E179" s="33" t="inlineStr">
        <is>
          <t>EL_RATE</t>
        </is>
      </c>
      <c r="F179" s="34" t="inlineStr">
        <is>
          <t>RW</t>
        </is>
      </c>
      <c r="G179" s="35" t="inlineStr">
        <is>
          <t>Elevation max step rate. Default 0x1388 = 5000 steps/s.</t>
        </is>
      </c>
    </row>
    <row r="180" ht="32" customHeight="1">
      <c r="A180" s="5" t="inlineStr">
        <is>
          <t>0x203C</t>
        </is>
      </c>
      <c r="B180" s="25" t="inlineStr">
        <is>
          <t>TLE_EPOCH_HI</t>
        </is>
      </c>
      <c r="C180" s="26" t="inlineStr">
        <is>
          <t>31</t>
        </is>
      </c>
      <c r="D180" s="26" t="inlineStr">
        <is>
          <t>0</t>
        </is>
      </c>
      <c r="E180" s="27" t="inlineStr">
        <is>
          <t>EPOCH_HI</t>
        </is>
      </c>
      <c r="F180" s="28" t="inlineStr">
        <is>
          <t>RW</t>
        </is>
      </c>
      <c r="G180" s="29" t="inlineStr">
        <is>
          <t>Upper 32 bits of epoch double. Write both halves to trigger SGP4 re-init.</t>
        </is>
      </c>
    </row>
    <row r="181" ht="32" customHeight="1">
      <c r="A181" s="5" t="inlineStr">
        <is>
          <t>0x2040</t>
        </is>
      </c>
      <c r="B181" s="25" t="inlineStr">
        <is>
          <t>TLE_EPOCH_LO</t>
        </is>
      </c>
      <c r="C181" s="26" t="inlineStr">
        <is>
          <t>31</t>
        </is>
      </c>
      <c r="D181" s="26" t="inlineStr">
        <is>
          <t>0</t>
        </is>
      </c>
      <c r="E181" s="27" t="inlineStr">
        <is>
          <t>EPOCH_LO</t>
        </is>
      </c>
      <c r="F181" s="28" t="inlineStr">
        <is>
          <t>RW</t>
        </is>
      </c>
      <c r="G181" s="29" t="inlineStr">
        <is>
          <t>Lower 32 bits of epoch double.</t>
        </is>
      </c>
    </row>
    <row r="182" ht="32" customHeight="1">
      <c r="A182" s="5" t="inlineStr">
        <is>
          <t>0x2044</t>
        </is>
      </c>
      <c r="B182" s="25" t="inlineStr">
        <is>
          <t>TLE_INCL</t>
        </is>
      </c>
      <c r="C182" s="26" t="inlineStr">
        <is>
          <t>31</t>
        </is>
      </c>
      <c r="D182" s="26" t="inlineStr">
        <is>
          <t>0</t>
        </is>
      </c>
      <c r="E182" s="27" t="inlineStr">
        <is>
          <t>INCL_DEG</t>
        </is>
      </c>
      <c r="F182" s="28" t="inlineStr">
        <is>
          <t>RW</t>
        </is>
      </c>
      <c r="G182" s="29" t="inlineStr">
        <is>
          <t>Inclination degrees Q10.22. Also loads other TLE elements via BRAM write sequence.</t>
        </is>
      </c>
    </row>
    <row r="183" ht="32" customHeight="1">
      <c r="A183" s="5" t="inlineStr">
        <is>
          <t>0x2048</t>
        </is>
      </c>
      <c r="B183" s="25" t="inlineStr">
        <is>
          <t>TLM_PERIOD</t>
        </is>
      </c>
      <c r="C183" s="26" t="inlineStr">
        <is>
          <t>31</t>
        </is>
      </c>
      <c r="D183" s="26" t="inlineStr">
        <is>
          <t>8</t>
        </is>
      </c>
      <c r="E183" s="27" t="inlineStr">
        <is>
          <t>RESERVED</t>
        </is>
      </c>
      <c r="F183" s="28" t="inlineStr">
        <is>
          <t>RW</t>
        </is>
      </c>
      <c r="G183" s="29" t="inlineStr">
        <is>
          <t>Reserved.</t>
        </is>
      </c>
    </row>
    <row r="184" ht="32" customHeight="1">
      <c r="A184" s="30" t="inlineStr">
        <is>
          <t>0x2048</t>
        </is>
      </c>
      <c r="B184" s="31" t="inlineStr">
        <is>
          <t>TLM_PERIOD</t>
        </is>
      </c>
      <c r="C184" s="32" t="inlineStr">
        <is>
          <t>7</t>
        </is>
      </c>
      <c r="D184" s="32" t="inlineStr">
        <is>
          <t>0</t>
        </is>
      </c>
      <c r="E184" s="33" t="inlineStr">
        <is>
          <t>PERIOD_S</t>
        </is>
      </c>
      <c r="F184" s="34" t="inlineStr">
        <is>
          <t>RW</t>
        </is>
      </c>
      <c r="G184" s="35" t="inlineStr">
        <is>
          <t>Period 1–255 seconds. Default 1.</t>
        </is>
      </c>
    </row>
    <row r="185" ht="32" customHeight="1">
      <c r="A185" s="5" t="inlineStr">
        <is>
          <t>0x204C</t>
        </is>
      </c>
      <c r="B185" s="25" t="inlineStr">
        <is>
          <t>TLM_ENABLE</t>
        </is>
      </c>
      <c r="C185" s="26" t="inlineStr">
        <is>
          <t>31</t>
        </is>
      </c>
      <c r="D185" s="26" t="inlineStr">
        <is>
          <t>3</t>
        </is>
      </c>
      <c r="E185" s="27" t="inlineStr">
        <is>
          <t>RESERVED</t>
        </is>
      </c>
      <c r="F185" s="28" t="inlineStr">
        <is>
          <t>RW</t>
        </is>
      </c>
      <c r="G185" s="29" t="inlineStr">
        <is>
          <t>Reserved.</t>
        </is>
      </c>
    </row>
    <row r="186" ht="32" customHeight="1">
      <c r="A186" s="30" t="inlineStr">
        <is>
          <t>0x204C</t>
        </is>
      </c>
      <c r="B186" s="31" t="inlineStr">
        <is>
          <t>TLM_ENABLE</t>
        </is>
      </c>
      <c r="C186" s="32" t="inlineStr">
        <is>
          <t>2</t>
        </is>
      </c>
      <c r="D186" s="32" t="inlineStr">
        <is>
          <t>2</t>
        </is>
      </c>
      <c r="E186" s="33" t="inlineStr">
        <is>
          <t>LASER_EN</t>
        </is>
      </c>
      <c r="F186" s="34" t="inlineStr">
        <is>
          <t>RW</t>
        </is>
      </c>
      <c r="G186" s="35" t="inlineStr">
        <is>
          <t>1=Enable laser telemetry (APID 0x103).</t>
        </is>
      </c>
    </row>
    <row r="187" ht="32" customHeight="1">
      <c r="A187" s="24" t="inlineStr">
        <is>
          <t>0x204C</t>
        </is>
      </c>
      <c r="B187" s="36" t="inlineStr">
        <is>
          <t>TLM_ENABLE</t>
        </is>
      </c>
      <c r="C187" s="37" t="inlineStr">
        <is>
          <t>1</t>
        </is>
      </c>
      <c r="D187" s="37" t="inlineStr">
        <is>
          <t>1</t>
        </is>
      </c>
      <c r="E187" s="38" t="inlineStr">
        <is>
          <t>ORBIT_EN</t>
        </is>
      </c>
      <c r="F187" s="39" t="inlineStr">
        <is>
          <t>RW</t>
        </is>
      </c>
      <c r="G187" s="40" t="inlineStr">
        <is>
          <t>1=Enable orbit telemetry (APID 0x102).</t>
        </is>
      </c>
    </row>
    <row r="188" ht="32" customHeight="1">
      <c r="A188" s="41" t="inlineStr">
        <is>
          <t>0x204C</t>
        </is>
      </c>
      <c r="B188" s="42" t="inlineStr">
        <is>
          <t>TLM_ENABLE</t>
        </is>
      </c>
      <c r="C188" s="43" t="inlineStr">
        <is>
          <t>0</t>
        </is>
      </c>
      <c r="D188" s="43" t="inlineStr">
        <is>
          <t>0</t>
        </is>
      </c>
      <c r="E188" s="44" t="inlineStr">
        <is>
          <t>ADCS_EN</t>
        </is>
      </c>
      <c r="F188" s="45" t="inlineStr">
        <is>
          <t>RW</t>
        </is>
      </c>
      <c r="G188" s="46" t="inlineStr">
        <is>
          <t>1=Enable ADCS telemetry (APID 0x101).</t>
        </is>
      </c>
    </row>
    <row r="189" ht="32" customHeight="1">
      <c r="A189" s="5" t="inlineStr">
        <is>
          <t>0x2050</t>
        </is>
      </c>
      <c r="B189" s="25" t="inlineStr">
        <is>
          <t>DBG_IMU_CNT</t>
        </is>
      </c>
      <c r="C189" s="26" t="inlineStr">
        <is>
          <t>31</t>
        </is>
      </c>
      <c r="D189" s="26" t="inlineStr">
        <is>
          <t>0</t>
        </is>
      </c>
      <c r="E189" s="27" t="inlineStr">
        <is>
          <t>IMU_CNT</t>
        </is>
      </c>
      <c r="F189" s="62" t="inlineStr">
        <is>
          <t>RO</t>
        </is>
      </c>
      <c r="G189" s="29" t="inlineStr">
        <is>
          <t>Running count of valid IMU SPI frames. Wraps at 2^32.</t>
        </is>
      </c>
    </row>
    <row r="190" ht="32" customHeight="1">
      <c r="A190" s="5" t="inlineStr">
        <is>
          <t>0x2054</t>
        </is>
      </c>
      <c r="B190" s="25" t="inlineStr">
        <is>
          <t>DBG_EKF_CNT</t>
        </is>
      </c>
      <c r="C190" s="26" t="inlineStr">
        <is>
          <t>31</t>
        </is>
      </c>
      <c r="D190" s="26" t="inlineStr">
        <is>
          <t>0</t>
        </is>
      </c>
      <c r="E190" s="27" t="inlineStr">
        <is>
          <t>EKF_CNT</t>
        </is>
      </c>
      <c r="F190" s="62" t="inlineStr">
        <is>
          <t>RO</t>
        </is>
      </c>
      <c r="G190" s="29" t="inlineStr">
        <is>
          <t>EKF predict steps since subsystem reset.</t>
        </is>
      </c>
    </row>
    <row r="191" ht="32" customHeight="1">
      <c r="A191" s="5" t="inlineStr">
        <is>
          <t>0x2058</t>
        </is>
      </c>
      <c r="B191" s="25" t="inlineStr">
        <is>
          <t>DBG_LASER_CNT</t>
        </is>
      </c>
      <c r="C191" s="26" t="inlineStr">
        <is>
          <t>31</t>
        </is>
      </c>
      <c r="D191" s="26" t="inlineStr">
        <is>
          <t>16</t>
        </is>
      </c>
      <c r="E191" s="27" t="inlineStr">
        <is>
          <t>ACQ_FAIL</t>
        </is>
      </c>
      <c r="F191" s="62" t="inlineStr">
        <is>
          <t>RO</t>
        </is>
      </c>
      <c r="G191" s="29" t="inlineStr">
        <is>
          <t>Failed acquisition attempts (SEARCH→ACQUIRE→SEARCH).</t>
        </is>
      </c>
    </row>
    <row r="192" ht="32" customHeight="1">
      <c r="A192" s="30" t="inlineStr">
        <is>
          <t>0x2058</t>
        </is>
      </c>
      <c r="B192" s="31" t="inlineStr">
        <is>
          <t>DBG_LASER_CNT</t>
        </is>
      </c>
      <c r="C192" s="32" t="inlineStr">
        <is>
          <t>15</t>
        </is>
      </c>
      <c r="D192" s="32" t="inlineStr">
        <is>
          <t>0</t>
        </is>
      </c>
      <c r="E192" s="33" t="inlineStr">
        <is>
          <t>ACQ_PASS</t>
        </is>
      </c>
      <c r="F192" s="63" t="inlineStr">
        <is>
          <t>RO</t>
        </is>
      </c>
      <c r="G192" s="35" t="inlineStr">
        <is>
          <t>Successful acquisitions (reached TRACK state).</t>
        </is>
      </c>
    </row>
    <row r="193" ht="32" customHeight="1">
      <c r="A193" s="5" t="inlineStr">
        <is>
          <t>0x205C</t>
        </is>
      </c>
      <c r="B193" s="25" t="inlineStr">
        <is>
          <t>DBG_FAULT_LOG</t>
        </is>
      </c>
      <c r="C193" s="26" t="inlineStr">
        <is>
          <t>31</t>
        </is>
      </c>
      <c r="D193" s="26" t="inlineStr">
        <is>
          <t>8</t>
        </is>
      </c>
      <c r="E193" s="27" t="inlineStr">
        <is>
          <t>RESERVED</t>
        </is>
      </c>
      <c r="F193" s="72" t="inlineStr">
        <is>
          <t>W1C</t>
        </is>
      </c>
      <c r="G193" s="29" t="inlineStr">
        <is>
          <t>Reserved.</t>
        </is>
      </c>
    </row>
    <row r="194" ht="32" customHeight="1">
      <c r="A194" s="30" t="inlineStr">
        <is>
          <t>0x205C</t>
        </is>
      </c>
      <c r="B194" s="31" t="inlineStr">
        <is>
          <t>DBG_FAULT_LOG</t>
        </is>
      </c>
      <c r="C194" s="32" t="inlineStr">
        <is>
          <t>7</t>
        </is>
      </c>
      <c r="D194" s="32" t="inlineStr">
        <is>
          <t>7</t>
        </is>
      </c>
      <c r="E194" s="33" t="inlineStr">
        <is>
          <t>EKF_DIVG</t>
        </is>
      </c>
      <c r="F194" s="73" t="inlineStr">
        <is>
          <t>W1C</t>
        </is>
      </c>
      <c r="G194" s="35" t="inlineStr">
        <is>
          <t>EKF covariance divergence detected.</t>
        </is>
      </c>
    </row>
    <row r="195" ht="32" customHeight="1">
      <c r="A195" s="24" t="inlineStr">
        <is>
          <t>0x205C</t>
        </is>
      </c>
      <c r="B195" s="36" t="inlineStr">
        <is>
          <t>DBG_FAULT_LOG</t>
        </is>
      </c>
      <c r="C195" s="37" t="inlineStr">
        <is>
          <t>6</t>
        </is>
      </c>
      <c r="D195" s="37" t="inlineStr">
        <is>
          <t>6</t>
        </is>
      </c>
      <c r="E195" s="38" t="inlineStr">
        <is>
          <t>RW_OVR</t>
        </is>
      </c>
      <c r="F195" s="74" t="inlineStr">
        <is>
          <t>W1C</t>
        </is>
      </c>
      <c r="G195" s="40" t="inlineStr">
        <is>
          <t>Reaction wheel speed over limit.</t>
        </is>
      </c>
    </row>
    <row r="196" ht="32" customHeight="1">
      <c r="A196" s="41" t="inlineStr">
        <is>
          <t>0x205C</t>
        </is>
      </c>
      <c r="B196" s="42" t="inlineStr">
        <is>
          <t>DBG_FAULT_LOG</t>
        </is>
      </c>
      <c r="C196" s="43" t="inlineStr">
        <is>
          <t>5</t>
        </is>
      </c>
      <c r="D196" s="43" t="inlineStr">
        <is>
          <t>5</t>
        </is>
      </c>
      <c r="E196" s="44" t="inlineStr">
        <is>
          <t>MAG_TMO</t>
        </is>
      </c>
      <c r="F196" s="75" t="inlineStr">
        <is>
          <t>W1C</t>
        </is>
      </c>
      <c r="G196" s="46" t="inlineStr">
        <is>
          <t>Magnetometer I2C timeout (&gt; 50 ms).</t>
        </is>
      </c>
    </row>
    <row r="197" ht="32" customHeight="1">
      <c r="A197" s="22" t="inlineStr">
        <is>
          <t>0x205C</t>
        </is>
      </c>
      <c r="B197" s="47" t="inlineStr">
        <is>
          <t>DBG_FAULT_LOG</t>
        </is>
      </c>
      <c r="C197" s="48" t="inlineStr">
        <is>
          <t>4</t>
        </is>
      </c>
      <c r="D197" s="48" t="inlineStr">
        <is>
          <t>4</t>
        </is>
      </c>
      <c r="E197" s="49" t="inlineStr">
        <is>
          <t>IMU_TMO</t>
        </is>
      </c>
      <c r="F197" s="76" t="inlineStr">
        <is>
          <t>W1C</t>
        </is>
      </c>
      <c r="G197" s="51" t="inlineStr">
        <is>
          <t>IMU SPI timeout (&gt; 200 ms without fresh data).</t>
        </is>
      </c>
    </row>
    <row r="198" ht="32" customHeight="1">
      <c r="A198" s="52" t="inlineStr">
        <is>
          <t>0x205C</t>
        </is>
      </c>
      <c r="B198" s="53" t="inlineStr">
        <is>
          <t>DBG_FAULT_LOG</t>
        </is>
      </c>
      <c r="C198" s="54" t="inlineStr">
        <is>
          <t>3</t>
        </is>
      </c>
      <c r="D198" s="54" t="inlineStr">
        <is>
          <t>3</t>
        </is>
      </c>
      <c r="E198" s="55" t="inlineStr">
        <is>
          <t>LASER_FLT</t>
        </is>
      </c>
      <c r="F198" s="77" t="inlineStr">
        <is>
          <t>W1C</t>
        </is>
      </c>
      <c r="G198" s="57" t="inlineStr">
        <is>
          <t>Laser FSM entered FAULT state.</t>
        </is>
      </c>
    </row>
    <row r="199" ht="32" customHeight="1">
      <c r="A199" s="58" t="inlineStr">
        <is>
          <t>0x205C</t>
        </is>
      </c>
      <c r="B199" s="59" t="inlineStr">
        <is>
          <t>DBG_FAULT_LOG</t>
        </is>
      </c>
      <c r="C199" s="60" t="inlineStr">
        <is>
          <t>2</t>
        </is>
      </c>
      <c r="D199" s="60" t="inlineStr">
        <is>
          <t>2</t>
        </is>
      </c>
      <c r="E199" s="16" t="inlineStr">
        <is>
          <t>COVAR_OVF</t>
        </is>
      </c>
      <c r="F199" s="17" t="inlineStr">
        <is>
          <t>W1C</t>
        </is>
      </c>
      <c r="G199" s="20" t="inlineStr">
        <is>
          <t>Covariance matrix diagonal element overflow.</t>
        </is>
      </c>
    </row>
    <row r="200" ht="32" customHeight="1">
      <c r="A200" s="69" t="inlineStr">
        <is>
          <t>0x205C</t>
        </is>
      </c>
      <c r="B200" s="70" t="inlineStr">
        <is>
          <t>DBG_FAULT_LOG</t>
        </is>
      </c>
      <c r="C200" s="71" t="inlineStr">
        <is>
          <t>1</t>
        </is>
      </c>
      <c r="D200" s="71" t="inlineStr">
        <is>
          <t>1</t>
        </is>
      </c>
      <c r="E200" s="11" t="inlineStr">
        <is>
          <t>ADCS_SAT3</t>
        </is>
      </c>
      <c r="F200" s="78" t="inlineStr">
        <is>
          <t>W1C</t>
        </is>
      </c>
      <c r="G200" s="15" t="inlineStr">
        <is>
          <t>All 3 axes saturated simultaneously.</t>
        </is>
      </c>
    </row>
    <row r="201" ht="32" customHeight="1">
      <c r="A201" s="5" t="inlineStr">
        <is>
          <t>0x205C</t>
        </is>
      </c>
      <c r="B201" s="25" t="inlineStr">
        <is>
          <t>DBG_FAULT_LOG</t>
        </is>
      </c>
      <c r="C201" s="26" t="inlineStr">
        <is>
          <t>0</t>
        </is>
      </c>
      <c r="D201" s="26" t="inlineStr">
        <is>
          <t>0</t>
        </is>
      </c>
      <c r="E201" s="27" t="inlineStr">
        <is>
          <t>ORBIT_INV</t>
        </is>
      </c>
      <c r="F201" s="72" t="inlineStr">
        <is>
          <t>W1C</t>
        </is>
      </c>
      <c r="G201" s="29" t="inlineStr">
        <is>
          <t>TLE epoch stale (&gt; 7 days); SGP4 accuracy degraded.</t>
        </is>
      </c>
    </row>
    <row r="202" ht="20" customHeight="1">
      <c r="A202" s="21" t="inlineStr">
        <is>
          <t>▶  UAV 1</t>
        </is>
      </c>
    </row>
    <row r="203" ht="32" customHeight="1">
      <c r="A203" s="5" t="inlineStr">
        <is>
          <t>0x3000</t>
        </is>
      </c>
      <c r="B203" s="25" t="inlineStr">
        <is>
          <t>UAV_CTRL</t>
        </is>
      </c>
      <c r="C203" s="26" t="inlineStr">
        <is>
          <t>31</t>
        </is>
      </c>
      <c r="D203" s="26" t="inlineStr">
        <is>
          <t>24</t>
        </is>
      </c>
      <c r="E203" s="27" t="inlineStr">
        <is>
          <t>RESERVED</t>
        </is>
      </c>
      <c r="F203" s="28" t="inlineStr">
        <is>
          <t>RW</t>
        </is>
      </c>
      <c r="G203" s="29" t="inlineStr">
        <is>
          <t>Reserved.</t>
        </is>
      </c>
    </row>
    <row r="204" ht="32" customHeight="1">
      <c r="A204" s="30" t="inlineStr">
        <is>
          <t>0x3000</t>
        </is>
      </c>
      <c r="B204" s="31" t="inlineStr">
        <is>
          <t>UAV_CTRL</t>
        </is>
      </c>
      <c r="C204" s="32" t="inlineStr">
        <is>
          <t>23</t>
        </is>
      </c>
      <c r="D204" s="32" t="inlineStr">
        <is>
          <t>16</t>
        </is>
      </c>
      <c r="E204" s="33" t="inlineStr">
        <is>
          <t>ARM_KEY</t>
        </is>
      </c>
      <c r="F204" s="34" t="inlineStr">
        <is>
          <t>RW</t>
        </is>
      </c>
      <c r="G204" s="35" t="inlineStr">
        <is>
          <t>Write 0xA5 (with UAV_EN=1) to arm. Safety interlock.</t>
        </is>
      </c>
    </row>
    <row r="205" ht="32" customHeight="1">
      <c r="A205" s="24" t="inlineStr">
        <is>
          <t>0x3000</t>
        </is>
      </c>
      <c r="B205" s="36" t="inlineStr">
        <is>
          <t>UAV_CTRL</t>
        </is>
      </c>
      <c r="C205" s="37" t="inlineStr">
        <is>
          <t>15</t>
        </is>
      </c>
      <c r="D205" s="37" t="inlineStr">
        <is>
          <t>12</t>
        </is>
      </c>
      <c r="E205" s="38" t="inlineStr">
        <is>
          <t>FLIGHT_MODE</t>
        </is>
      </c>
      <c r="F205" s="39" t="inlineStr">
        <is>
          <t>RW</t>
        </is>
      </c>
      <c r="G205" s="40" t="inlineStr">
        <is>
          <t>0=STABILIZE 1=ALT_HOLD 2=POS_HOLD 3=AUTO 4=RTL 5=LAND</t>
        </is>
      </c>
    </row>
    <row r="206" ht="32" customHeight="1">
      <c r="A206" s="41" t="inlineStr">
        <is>
          <t>0x3000</t>
        </is>
      </c>
      <c r="B206" s="42" t="inlineStr">
        <is>
          <t>UAV_CTRL</t>
        </is>
      </c>
      <c r="C206" s="43" t="inlineStr">
        <is>
          <t>5</t>
        </is>
      </c>
      <c r="D206" s="43" t="inlineStr">
        <is>
          <t>5</t>
        </is>
      </c>
      <c r="E206" s="44" t="inlineStr">
        <is>
          <t>EKF_EN</t>
        </is>
      </c>
      <c r="F206" s="45" t="inlineStr">
        <is>
          <t>RW</t>
        </is>
      </c>
      <c r="G206" s="46" t="inlineStr">
        <is>
          <t>1=Enable 9-state EKF.</t>
        </is>
      </c>
    </row>
    <row r="207" ht="32" customHeight="1">
      <c r="A207" s="22" t="inlineStr">
        <is>
          <t>0x3000</t>
        </is>
      </c>
      <c r="B207" s="47" t="inlineStr">
        <is>
          <t>UAV_CTRL</t>
        </is>
      </c>
      <c r="C207" s="48" t="inlineStr">
        <is>
          <t>4</t>
        </is>
      </c>
      <c r="D207" s="48" t="inlineStr">
        <is>
          <t>4</t>
        </is>
      </c>
      <c r="E207" s="49" t="inlineStr">
        <is>
          <t>PID_EN</t>
        </is>
      </c>
      <c r="F207" s="50" t="inlineStr">
        <is>
          <t>RW</t>
        </is>
      </c>
      <c r="G207" s="51" t="inlineStr">
        <is>
          <t>1=Enable PID. 0=zero all motor outputs.</t>
        </is>
      </c>
    </row>
    <row r="208" ht="32" customHeight="1">
      <c r="A208" s="52" t="inlineStr">
        <is>
          <t>0x3000</t>
        </is>
      </c>
      <c r="B208" s="53" t="inlineStr">
        <is>
          <t>UAV_CTRL</t>
        </is>
      </c>
      <c r="C208" s="54" t="inlineStr">
        <is>
          <t>3</t>
        </is>
      </c>
      <c r="D208" s="54" t="inlineStr">
        <is>
          <t>3</t>
        </is>
      </c>
      <c r="E208" s="55" t="inlineStr">
        <is>
          <t>NAV_EN</t>
        </is>
      </c>
      <c r="F208" s="56" t="inlineStr">
        <is>
          <t>RW</t>
        </is>
      </c>
      <c r="G208" s="57" t="inlineStr">
        <is>
          <t>1=Enable waypoint navigation FSM.</t>
        </is>
      </c>
    </row>
    <row r="209" ht="32" customHeight="1">
      <c r="A209" s="58" t="inlineStr">
        <is>
          <t>0x3000</t>
        </is>
      </c>
      <c r="B209" s="59" t="inlineStr">
        <is>
          <t>UAV_CTRL</t>
        </is>
      </c>
      <c r="C209" s="60" t="inlineStr">
        <is>
          <t>2</t>
        </is>
      </c>
      <c r="D209" s="60" t="inlineStr">
        <is>
          <t>2</t>
        </is>
      </c>
      <c r="E209" s="16" t="inlineStr">
        <is>
          <t>MAV_EN</t>
        </is>
      </c>
      <c r="F209" s="61" t="inlineStr">
        <is>
          <t>RW</t>
        </is>
      </c>
      <c r="G209" s="20" t="inlineStr">
        <is>
          <t>1=Enable MAVLink stack.</t>
        </is>
      </c>
    </row>
    <row r="210" ht="32" customHeight="1">
      <c r="A210" s="69" t="inlineStr">
        <is>
          <t>0x3000</t>
        </is>
      </c>
      <c r="B210" s="70" t="inlineStr">
        <is>
          <t>UAV_CTRL</t>
        </is>
      </c>
      <c r="C210" s="71" t="inlineStr">
        <is>
          <t>1</t>
        </is>
      </c>
      <c r="D210" s="71" t="inlineStr">
        <is>
          <t>1</t>
        </is>
      </c>
      <c r="E210" s="11" t="inlineStr">
        <is>
          <t>SOFT_RST</t>
        </is>
      </c>
      <c r="F210" s="79" t="inlineStr">
        <is>
          <t>RW</t>
        </is>
      </c>
      <c r="G210" s="15" t="inlineStr">
        <is>
          <t>Write 1 to soft-reset (self-clearing, 8 cycles).</t>
        </is>
      </c>
    </row>
    <row r="211" ht="32" customHeight="1">
      <c r="A211" s="5" t="inlineStr">
        <is>
          <t>0x3000</t>
        </is>
      </c>
      <c r="B211" s="25" t="inlineStr">
        <is>
          <t>UAV_CTRL</t>
        </is>
      </c>
      <c r="C211" s="26" t="inlineStr">
        <is>
          <t>0</t>
        </is>
      </c>
      <c r="D211" s="26" t="inlineStr">
        <is>
          <t>0</t>
        </is>
      </c>
      <c r="E211" s="27" t="inlineStr">
        <is>
          <t>UAV_EN</t>
        </is>
      </c>
      <c r="F211" s="28" t="inlineStr">
        <is>
          <t>RW</t>
        </is>
      </c>
      <c r="G211" s="29" t="inlineStr">
        <is>
          <t>1=UAV subsystem enabled.</t>
        </is>
      </c>
    </row>
    <row r="212" ht="32" customHeight="1">
      <c r="A212" s="5" t="inlineStr">
        <is>
          <t>0x3004</t>
        </is>
      </c>
      <c r="B212" s="25" t="inlineStr">
        <is>
          <t>UAV_STATUS</t>
        </is>
      </c>
      <c r="C212" s="26" t="inlineStr">
        <is>
          <t>31</t>
        </is>
      </c>
      <c r="D212" s="26" t="inlineStr">
        <is>
          <t>28</t>
        </is>
      </c>
      <c r="E212" s="27" t="inlineStr">
        <is>
          <t>NAV_STATE</t>
        </is>
      </c>
      <c r="F212" s="62" t="inlineStr">
        <is>
          <t>RO</t>
        </is>
      </c>
      <c r="G212" s="29" t="inlineStr">
        <is>
          <t>0=DISARMD 1=ARMED 2=TAKEOFF 3=EN_ROUTE 4=LOITER 5=LAND 6=RTL 7=EMRG</t>
        </is>
      </c>
    </row>
    <row r="213" ht="32" customHeight="1">
      <c r="A213" s="30" t="inlineStr">
        <is>
          <t>0x3004</t>
        </is>
      </c>
      <c r="B213" s="31" t="inlineStr">
        <is>
          <t>UAV_STATUS</t>
        </is>
      </c>
      <c r="C213" s="32" t="inlineStr">
        <is>
          <t>27</t>
        </is>
      </c>
      <c r="D213" s="32" t="inlineStr">
        <is>
          <t>24</t>
        </is>
      </c>
      <c r="E213" s="33" t="inlineStr">
        <is>
          <t>FAULT_CODE</t>
        </is>
      </c>
      <c r="F213" s="63" t="inlineStr">
        <is>
          <t>RO</t>
        </is>
      </c>
      <c r="G213" s="35" t="inlineStr">
        <is>
          <t>0=none 1=GPS_LOST 2=IMU_FAIL 3=MTR_OVR 4=FENCE 5=WDT</t>
        </is>
      </c>
    </row>
    <row r="214" ht="32" customHeight="1">
      <c r="A214" s="24" t="inlineStr">
        <is>
          <t>0x3004</t>
        </is>
      </c>
      <c r="B214" s="36" t="inlineStr">
        <is>
          <t>UAV_STATUS</t>
        </is>
      </c>
      <c r="C214" s="37" t="inlineStr">
        <is>
          <t>23</t>
        </is>
      </c>
      <c r="D214" s="37" t="inlineStr">
        <is>
          <t>23</t>
        </is>
      </c>
      <c r="E214" s="38" t="inlineStr">
        <is>
          <t>ARMED</t>
        </is>
      </c>
      <c r="F214" s="64" t="inlineStr">
        <is>
          <t>RO</t>
        </is>
      </c>
      <c r="G214" s="40" t="inlineStr">
        <is>
          <t>1=Motors armed.</t>
        </is>
      </c>
    </row>
    <row r="215" ht="32" customHeight="1">
      <c r="A215" s="41" t="inlineStr">
        <is>
          <t>0x3004</t>
        </is>
      </c>
      <c r="B215" s="42" t="inlineStr">
        <is>
          <t>UAV_STATUS</t>
        </is>
      </c>
      <c r="C215" s="43" t="inlineStr">
        <is>
          <t>22</t>
        </is>
      </c>
      <c r="D215" s="43" t="inlineStr">
        <is>
          <t>22</t>
        </is>
      </c>
      <c r="E215" s="44" t="inlineStr">
        <is>
          <t>GPS_LOCK</t>
        </is>
      </c>
      <c r="F215" s="65" t="inlineStr">
        <is>
          <t>RO</t>
        </is>
      </c>
      <c r="G215" s="46" t="inlineStr">
        <is>
          <t>1=GPS fix (≥4 sats, HDOP &lt; 3.0).</t>
        </is>
      </c>
    </row>
    <row r="216" ht="32" customHeight="1">
      <c r="A216" s="22" t="inlineStr">
        <is>
          <t>0x3004</t>
        </is>
      </c>
      <c r="B216" s="47" t="inlineStr">
        <is>
          <t>UAV_STATUS</t>
        </is>
      </c>
      <c r="C216" s="48" t="inlineStr">
        <is>
          <t>21</t>
        </is>
      </c>
      <c r="D216" s="48" t="inlineStr">
        <is>
          <t>21</t>
        </is>
      </c>
      <c r="E216" s="49" t="inlineStr">
        <is>
          <t>MAV_LINK</t>
        </is>
      </c>
      <c r="F216" s="66" t="inlineStr">
        <is>
          <t>RO</t>
        </is>
      </c>
      <c r="G216" s="51" t="inlineStr">
        <is>
          <t>1=MAVLink heartbeat &lt; 3 s ago.</t>
        </is>
      </c>
    </row>
    <row r="217" ht="32" customHeight="1">
      <c r="A217" s="52" t="inlineStr">
        <is>
          <t>0x3004</t>
        </is>
      </c>
      <c r="B217" s="53" t="inlineStr">
        <is>
          <t>UAV_STATUS</t>
        </is>
      </c>
      <c r="C217" s="54" t="inlineStr">
        <is>
          <t>20</t>
        </is>
      </c>
      <c r="D217" s="54" t="inlineStr">
        <is>
          <t>20</t>
        </is>
      </c>
      <c r="E217" s="55" t="inlineStr">
        <is>
          <t>BARO_OK</t>
        </is>
      </c>
      <c r="F217" s="67" t="inlineStr">
        <is>
          <t>RO</t>
        </is>
      </c>
      <c r="G217" s="57" t="inlineStr">
        <is>
          <t>1=Barometer fresh (&lt; 100 ms).</t>
        </is>
      </c>
    </row>
    <row r="218" ht="32" customHeight="1">
      <c r="A218" s="58" t="inlineStr">
        <is>
          <t>0x3004</t>
        </is>
      </c>
      <c r="B218" s="59" t="inlineStr">
        <is>
          <t>UAV_STATUS</t>
        </is>
      </c>
      <c r="C218" s="60" t="inlineStr">
        <is>
          <t>19</t>
        </is>
      </c>
      <c r="D218" s="60" t="inlineStr">
        <is>
          <t>19</t>
        </is>
      </c>
      <c r="E218" s="16" t="inlineStr">
        <is>
          <t>TOF_ACTIVE</t>
        </is>
      </c>
      <c r="F218" s="68" t="inlineStr">
        <is>
          <t>RO</t>
        </is>
      </c>
      <c r="G218" s="20" t="inlineStr">
        <is>
          <t>1=ToF ranging active (alt &lt; 10 m AGL).</t>
        </is>
      </c>
    </row>
    <row r="219" ht="32" customHeight="1">
      <c r="A219" s="69" t="inlineStr">
        <is>
          <t>0x3004</t>
        </is>
      </c>
      <c r="B219" s="70" t="inlineStr">
        <is>
          <t>UAV_STATUS</t>
        </is>
      </c>
      <c r="C219" s="71" t="inlineStr">
        <is>
          <t>18</t>
        </is>
      </c>
      <c r="D219" s="71" t="inlineStr">
        <is>
          <t>18</t>
        </is>
      </c>
      <c r="E219" s="11" t="inlineStr">
        <is>
          <t>CA_ACTIVE</t>
        </is>
      </c>
      <c r="F219" s="12" t="inlineStr">
        <is>
          <t>RO</t>
        </is>
      </c>
      <c r="G219" s="15" t="inlineStr">
        <is>
          <t>1=Collision avoidance override active.</t>
        </is>
      </c>
    </row>
    <row r="220" ht="32" customHeight="1">
      <c r="A220" s="5" t="inlineStr">
        <is>
          <t>0x3004</t>
        </is>
      </c>
      <c r="B220" s="25" t="inlineStr">
        <is>
          <t>UAV_STATUS</t>
        </is>
      </c>
      <c r="C220" s="26" t="inlineStr">
        <is>
          <t>17</t>
        </is>
      </c>
      <c r="D220" s="26" t="inlineStr">
        <is>
          <t>17</t>
        </is>
      </c>
      <c r="E220" s="27" t="inlineStr">
        <is>
          <t>FENCE_WARN</t>
        </is>
      </c>
      <c r="F220" s="62" t="inlineStr">
        <is>
          <t>RO</t>
        </is>
      </c>
      <c r="G220" s="29" t="inlineStr">
        <is>
          <t>1=Within 5 m of geofence boundary.</t>
        </is>
      </c>
    </row>
    <row r="221" ht="32" customHeight="1">
      <c r="A221" s="30" t="inlineStr">
        <is>
          <t>0x3004</t>
        </is>
      </c>
      <c r="B221" s="31" t="inlineStr">
        <is>
          <t>UAV_STATUS</t>
        </is>
      </c>
      <c r="C221" s="32" t="inlineStr">
        <is>
          <t>16</t>
        </is>
      </c>
      <c r="D221" s="32" t="inlineStr">
        <is>
          <t>16</t>
        </is>
      </c>
      <c r="E221" s="33" t="inlineStr">
        <is>
          <t>EKF_CONV</t>
        </is>
      </c>
      <c r="F221" s="63" t="inlineStr">
        <is>
          <t>RO</t>
        </is>
      </c>
      <c r="G221" s="35" t="inlineStr">
        <is>
          <t>1=9-state EKF converged.</t>
        </is>
      </c>
    </row>
    <row r="222" ht="32" customHeight="1">
      <c r="A222" s="24" t="inlineStr">
        <is>
          <t>0x3004</t>
        </is>
      </c>
      <c r="B222" s="36" t="inlineStr">
        <is>
          <t>UAV_STATUS</t>
        </is>
      </c>
      <c r="C222" s="37" t="inlineStr">
        <is>
          <t>15</t>
        </is>
      </c>
      <c r="D222" s="37" t="inlineStr">
        <is>
          <t>12</t>
        </is>
      </c>
      <c r="E222" s="38" t="inlineStr">
        <is>
          <t>WP_IDX</t>
        </is>
      </c>
      <c r="F222" s="64" t="inlineStr">
        <is>
          <t>RO</t>
        </is>
      </c>
      <c r="G222" s="40" t="inlineStr">
        <is>
          <t>Current waypoint index 0–31.</t>
        </is>
      </c>
    </row>
    <row r="223" ht="32" customHeight="1">
      <c r="A223" s="41" t="inlineStr">
        <is>
          <t>0x3004</t>
        </is>
      </c>
      <c r="B223" s="42" t="inlineStr">
        <is>
          <t>UAV_STATUS</t>
        </is>
      </c>
      <c r="C223" s="43" t="inlineStr">
        <is>
          <t>11</t>
        </is>
      </c>
      <c r="D223" s="43" t="inlineStr">
        <is>
          <t>8</t>
        </is>
      </c>
      <c r="E223" s="44" t="inlineStr">
        <is>
          <t>RESERVED</t>
        </is>
      </c>
      <c r="F223" s="65" t="inlineStr">
        <is>
          <t>RO</t>
        </is>
      </c>
      <c r="G223" s="46" t="inlineStr">
        <is>
          <t>Reserved.</t>
        </is>
      </c>
    </row>
    <row r="224" ht="32" customHeight="1">
      <c r="A224" s="22" t="inlineStr">
        <is>
          <t>0x3004</t>
        </is>
      </c>
      <c r="B224" s="47" t="inlineStr">
        <is>
          <t>UAV_STATUS</t>
        </is>
      </c>
      <c r="C224" s="48" t="inlineStr">
        <is>
          <t>7</t>
        </is>
      </c>
      <c r="D224" s="48" t="inlineStr">
        <is>
          <t>4</t>
        </is>
      </c>
      <c r="E224" s="49" t="inlineStr">
        <is>
          <t>SV_COUNT</t>
        </is>
      </c>
      <c r="F224" s="66" t="inlineStr">
        <is>
          <t>RO</t>
        </is>
      </c>
      <c r="G224" s="51" t="inlineStr">
        <is>
          <t>GPS satellites in view (0–15).</t>
        </is>
      </c>
    </row>
    <row r="225" ht="32" customHeight="1">
      <c r="A225" s="52" t="inlineStr">
        <is>
          <t>0x3004</t>
        </is>
      </c>
      <c r="B225" s="53" t="inlineStr">
        <is>
          <t>UAV_STATUS</t>
        </is>
      </c>
      <c r="C225" s="54" t="inlineStr">
        <is>
          <t>3</t>
        </is>
      </c>
      <c r="D225" s="54" t="inlineStr">
        <is>
          <t>0</t>
        </is>
      </c>
      <c r="E225" s="55" t="inlineStr">
        <is>
          <t>WDT_COUNT</t>
        </is>
      </c>
      <c r="F225" s="67" t="inlineStr">
        <is>
          <t>RO</t>
        </is>
      </c>
      <c r="G225" s="57" t="inlineStr">
        <is>
          <t>Watchdog kick count modulo 16.</t>
        </is>
      </c>
    </row>
    <row r="226" ht="32" customHeight="1">
      <c r="A226" s="5" t="inlineStr">
        <is>
          <t>0x3008</t>
        </is>
      </c>
      <c r="B226" s="25" t="inlineStr">
        <is>
          <t>EKF9_Q_POS</t>
        </is>
      </c>
      <c r="C226" s="26" t="inlineStr">
        <is>
          <t>31</t>
        </is>
      </c>
      <c r="D226" s="26" t="inlineStr">
        <is>
          <t>0</t>
        </is>
      </c>
      <c r="E226" s="27" t="inlineStr">
        <is>
          <t>Q_POS</t>
        </is>
      </c>
      <c r="F226" s="28" t="inlineStr">
        <is>
          <t>RW</t>
        </is>
      </c>
      <c r="G226" s="29" t="inlineStr">
        <is>
          <t>Position noise variance m² Q10.22.</t>
        </is>
      </c>
    </row>
    <row r="227" ht="32" customHeight="1">
      <c r="A227" s="5" t="inlineStr">
        <is>
          <t>0x300C</t>
        </is>
      </c>
      <c r="B227" s="25" t="inlineStr">
        <is>
          <t>EKF9_Q_VEL</t>
        </is>
      </c>
      <c r="C227" s="26" t="inlineStr">
        <is>
          <t>31</t>
        </is>
      </c>
      <c r="D227" s="26" t="inlineStr">
        <is>
          <t>0</t>
        </is>
      </c>
      <c r="E227" s="27" t="inlineStr">
        <is>
          <t>Q_VEL</t>
        </is>
      </c>
      <c r="F227" s="28" t="inlineStr">
        <is>
          <t>RW</t>
        </is>
      </c>
      <c r="G227" s="29" t="inlineStr">
        <is>
          <t>Velocity noise variance Q4.28.</t>
        </is>
      </c>
    </row>
    <row r="228" ht="32" customHeight="1">
      <c r="A228" s="5" t="inlineStr">
        <is>
          <t>0x3010</t>
        </is>
      </c>
      <c r="B228" s="25" t="inlineStr">
        <is>
          <t>EKF9_Q_ANG</t>
        </is>
      </c>
      <c r="C228" s="26" t="inlineStr">
        <is>
          <t>31</t>
        </is>
      </c>
      <c r="D228" s="26" t="inlineStr">
        <is>
          <t>0</t>
        </is>
      </c>
      <c r="E228" s="27" t="inlineStr">
        <is>
          <t>Q_ANG</t>
        </is>
      </c>
      <c r="F228" s="28" t="inlineStr">
        <is>
          <t>RW</t>
        </is>
      </c>
      <c r="G228" s="29" t="inlineStr">
        <is>
          <t>Angle noise variance Q3.29.</t>
        </is>
      </c>
    </row>
    <row r="229" ht="32" customHeight="1">
      <c r="A229" s="5" t="inlineStr">
        <is>
          <t>0x3014</t>
        </is>
      </c>
      <c r="B229" s="25" t="inlineStr">
        <is>
          <t>EKF9_R_GPS_P</t>
        </is>
      </c>
      <c r="C229" s="26" t="inlineStr">
        <is>
          <t>31</t>
        </is>
      </c>
      <c r="D229" s="26" t="inlineStr">
        <is>
          <t>0</t>
        </is>
      </c>
      <c r="E229" s="27" t="inlineStr">
        <is>
          <t>R_GPS_POS</t>
        </is>
      </c>
      <c r="F229" s="28" t="inlineStr">
        <is>
          <t>RW</t>
        </is>
      </c>
      <c r="G229" s="29" t="inlineStr">
        <is>
          <t>GPS position noise Q10.22.</t>
        </is>
      </c>
    </row>
    <row r="230" ht="32" customHeight="1">
      <c r="A230" s="5" t="inlineStr">
        <is>
          <t>0x3018</t>
        </is>
      </c>
      <c r="B230" s="25" t="inlineStr">
        <is>
          <t>EKF9_R_GPS_V</t>
        </is>
      </c>
      <c r="C230" s="26" t="inlineStr">
        <is>
          <t>31</t>
        </is>
      </c>
      <c r="D230" s="26" t="inlineStr">
        <is>
          <t>0</t>
        </is>
      </c>
      <c r="E230" s="27" t="inlineStr">
        <is>
          <t>R_GPS_VEL</t>
        </is>
      </c>
      <c r="F230" s="28" t="inlineStr">
        <is>
          <t>RW</t>
        </is>
      </c>
      <c r="G230" s="29" t="inlineStr">
        <is>
          <t>GPS velocity noise Q4.28.</t>
        </is>
      </c>
    </row>
    <row r="231" ht="32" customHeight="1">
      <c r="A231" s="5" t="inlineStr">
        <is>
          <t>0x301C</t>
        </is>
      </c>
      <c r="B231" s="25" t="inlineStr">
        <is>
          <t>EKF9_R_BARO</t>
        </is>
      </c>
      <c r="C231" s="26" t="inlineStr">
        <is>
          <t>31</t>
        </is>
      </c>
      <c r="D231" s="26" t="inlineStr">
        <is>
          <t>0</t>
        </is>
      </c>
      <c r="E231" s="27" t="inlineStr">
        <is>
          <t>R_BARO</t>
        </is>
      </c>
      <c r="F231" s="28" t="inlineStr">
        <is>
          <t>RW</t>
        </is>
      </c>
      <c r="G231" s="29" t="inlineStr">
        <is>
          <t>Baro noise Q10.22.</t>
        </is>
      </c>
    </row>
    <row r="232" ht="32" customHeight="1">
      <c r="A232" s="5" t="inlineStr">
        <is>
          <t>0x3020</t>
        </is>
      </c>
      <c r="B232" s="25" t="inlineStr">
        <is>
          <t>EKF9_GPS_GATE</t>
        </is>
      </c>
      <c r="C232" s="26" t="inlineStr">
        <is>
          <t>31</t>
        </is>
      </c>
      <c r="D232" s="26" t="inlineStr">
        <is>
          <t>8</t>
        </is>
      </c>
      <c r="E232" s="27" t="inlineStr">
        <is>
          <t>RESERVED</t>
        </is>
      </c>
      <c r="F232" s="28" t="inlineStr">
        <is>
          <t>RW</t>
        </is>
      </c>
      <c r="G232" s="29" t="inlineStr">
        <is>
          <t>Reserved.</t>
        </is>
      </c>
    </row>
    <row r="233" ht="32" customHeight="1">
      <c r="A233" s="30" t="inlineStr">
        <is>
          <t>0x3020</t>
        </is>
      </c>
      <c r="B233" s="31" t="inlineStr">
        <is>
          <t>EKF9_GPS_GATE</t>
        </is>
      </c>
      <c r="C233" s="32" t="inlineStr">
        <is>
          <t>7</t>
        </is>
      </c>
      <c r="D233" s="32" t="inlineStr">
        <is>
          <t>0</t>
        </is>
      </c>
      <c r="E233" s="33" t="inlineStr">
        <is>
          <t>GATE_SIGMA</t>
        </is>
      </c>
      <c r="F233" s="34" t="inlineStr">
        <is>
          <t>RW</t>
        </is>
      </c>
      <c r="G233" s="35" t="inlineStr">
        <is>
          <t>Reject if |innovation| &gt; GATE_SIGMA × √S. Default 5.</t>
        </is>
      </c>
    </row>
    <row r="234" ht="32" customHeight="1">
      <c r="A234" s="5" t="inlineStr">
        <is>
          <t>0x3024</t>
        </is>
      </c>
      <c r="B234" s="25" t="inlineStr">
        <is>
          <t>PID_RATE_KP</t>
        </is>
      </c>
      <c r="C234" s="26" t="inlineStr">
        <is>
          <t>31</t>
        </is>
      </c>
      <c r="D234" s="26" t="inlineStr">
        <is>
          <t>16</t>
        </is>
      </c>
      <c r="E234" s="27" t="inlineStr">
        <is>
          <t>RESERVED</t>
        </is>
      </c>
      <c r="F234" s="28" t="inlineStr">
        <is>
          <t>RW</t>
        </is>
      </c>
      <c r="G234" s="29" t="inlineStr">
        <is>
          <t>Reserved.</t>
        </is>
      </c>
    </row>
    <row r="235" ht="32" customHeight="1">
      <c r="A235" s="30" t="inlineStr">
        <is>
          <t>0x3024</t>
        </is>
      </c>
      <c r="B235" s="31" t="inlineStr">
        <is>
          <t>PID_RATE_KP</t>
        </is>
      </c>
      <c r="C235" s="32" t="inlineStr">
        <is>
          <t>15</t>
        </is>
      </c>
      <c r="D235" s="32" t="inlineStr">
        <is>
          <t>0</t>
        </is>
      </c>
      <c r="E235" s="33" t="inlineStr">
        <is>
          <t>KP_RATE</t>
        </is>
      </c>
      <c r="F235" s="34" t="inlineStr">
        <is>
          <t>RW</t>
        </is>
      </c>
      <c r="G235" s="35" t="inlineStr">
        <is>
          <t>Rate Kp Q4.12. Default 1.5 = 0x1800.</t>
        </is>
      </c>
    </row>
    <row r="236" ht="32" customHeight="1">
      <c r="A236" s="5" t="inlineStr">
        <is>
          <t>0x3028</t>
        </is>
      </c>
      <c r="B236" s="25" t="inlineStr">
        <is>
          <t>PID_ROLL_KP</t>
        </is>
      </c>
      <c r="C236" s="26" t="inlineStr">
        <is>
          <t>31</t>
        </is>
      </c>
      <c r="D236" s="26" t="inlineStr">
        <is>
          <t>16</t>
        </is>
      </c>
      <c r="E236" s="27" t="inlineStr">
        <is>
          <t>RESERVED</t>
        </is>
      </c>
      <c r="F236" s="28" t="inlineStr">
        <is>
          <t>RW</t>
        </is>
      </c>
      <c r="G236" s="29" t="inlineStr">
        <is>
          <t>Reserved.</t>
        </is>
      </c>
    </row>
    <row r="237" ht="32" customHeight="1">
      <c r="A237" s="30" t="inlineStr">
        <is>
          <t>0x3028</t>
        </is>
      </c>
      <c r="B237" s="31" t="inlineStr">
        <is>
          <t>PID_ROLL_KP</t>
        </is>
      </c>
      <c r="C237" s="32" t="inlineStr">
        <is>
          <t>15</t>
        </is>
      </c>
      <c r="D237" s="32" t="inlineStr">
        <is>
          <t>0</t>
        </is>
      </c>
      <c r="E237" s="33" t="inlineStr">
        <is>
          <t>KP</t>
        </is>
      </c>
      <c r="F237" s="34" t="inlineStr">
        <is>
          <t>RW</t>
        </is>
      </c>
      <c r="G237" s="35" t="inlineStr">
        <is>
          <t>Roll-rate Kp Q4.12.</t>
        </is>
      </c>
    </row>
    <row r="238" ht="32" customHeight="1">
      <c r="A238" s="5" t="inlineStr">
        <is>
          <t>0x302C</t>
        </is>
      </c>
      <c r="B238" s="25" t="inlineStr">
        <is>
          <t>PID_ROLL_KI</t>
        </is>
      </c>
      <c r="C238" s="26" t="inlineStr">
        <is>
          <t>31</t>
        </is>
      </c>
      <c r="D238" s="26" t="inlineStr">
        <is>
          <t>16</t>
        </is>
      </c>
      <c r="E238" s="27" t="inlineStr">
        <is>
          <t>RESERVED</t>
        </is>
      </c>
      <c r="F238" s="28" t="inlineStr">
        <is>
          <t>RW</t>
        </is>
      </c>
      <c r="G238" s="29" t="inlineStr">
        <is>
          <t>Reserved.</t>
        </is>
      </c>
    </row>
    <row r="239" ht="32" customHeight="1">
      <c r="A239" s="30" t="inlineStr">
        <is>
          <t>0x302C</t>
        </is>
      </c>
      <c r="B239" s="31" t="inlineStr">
        <is>
          <t>PID_ROLL_KI</t>
        </is>
      </c>
      <c r="C239" s="32" t="inlineStr">
        <is>
          <t>15</t>
        </is>
      </c>
      <c r="D239" s="32" t="inlineStr">
        <is>
          <t>0</t>
        </is>
      </c>
      <c r="E239" s="33" t="inlineStr">
        <is>
          <t>KI</t>
        </is>
      </c>
      <c r="F239" s="34" t="inlineStr">
        <is>
          <t>RW</t>
        </is>
      </c>
      <c r="G239" s="35" t="inlineStr">
        <is>
          <t>Roll-rate Ki Q4.12.</t>
        </is>
      </c>
    </row>
    <row r="240" ht="32" customHeight="1">
      <c r="A240" s="5" t="inlineStr">
        <is>
          <t>0x3030</t>
        </is>
      </c>
      <c r="B240" s="25" t="inlineStr">
        <is>
          <t>PID_ROLL_KD</t>
        </is>
      </c>
      <c r="C240" s="26" t="inlineStr">
        <is>
          <t>31</t>
        </is>
      </c>
      <c r="D240" s="26" t="inlineStr">
        <is>
          <t>16</t>
        </is>
      </c>
      <c r="E240" s="27" t="inlineStr">
        <is>
          <t>RESERVED</t>
        </is>
      </c>
      <c r="F240" s="28" t="inlineStr">
        <is>
          <t>RW</t>
        </is>
      </c>
      <c r="G240" s="29" t="inlineStr">
        <is>
          <t>Reserved.</t>
        </is>
      </c>
    </row>
    <row r="241" ht="32" customHeight="1">
      <c r="A241" s="30" t="inlineStr">
        <is>
          <t>0x3030</t>
        </is>
      </c>
      <c r="B241" s="31" t="inlineStr">
        <is>
          <t>PID_ROLL_KD</t>
        </is>
      </c>
      <c r="C241" s="32" t="inlineStr">
        <is>
          <t>15</t>
        </is>
      </c>
      <c r="D241" s="32" t="inlineStr">
        <is>
          <t>0</t>
        </is>
      </c>
      <c r="E241" s="33" t="inlineStr">
        <is>
          <t>KD</t>
        </is>
      </c>
      <c r="F241" s="34" t="inlineStr">
        <is>
          <t>RW</t>
        </is>
      </c>
      <c r="G241" s="35" t="inlineStr">
        <is>
          <t>Roll-rate Kd Q4.12.</t>
        </is>
      </c>
    </row>
    <row r="242" ht="32" customHeight="1">
      <c r="A242" s="5" t="inlineStr">
        <is>
          <t>0x3034</t>
        </is>
      </c>
      <c r="B242" s="25" t="inlineStr">
        <is>
          <t>PID_PITCH_KP</t>
        </is>
      </c>
      <c r="C242" s="26" t="inlineStr">
        <is>
          <t>31</t>
        </is>
      </c>
      <c r="D242" s="26" t="inlineStr">
        <is>
          <t>16</t>
        </is>
      </c>
      <c r="E242" s="27" t="inlineStr">
        <is>
          <t>RESERVED</t>
        </is>
      </c>
      <c r="F242" s="28" t="inlineStr">
        <is>
          <t>RW</t>
        </is>
      </c>
      <c r="G242" s="29" t="inlineStr">
        <is>
          <t>Reserved.</t>
        </is>
      </c>
    </row>
    <row r="243" ht="32" customHeight="1">
      <c r="A243" s="30" t="inlineStr">
        <is>
          <t>0x3034</t>
        </is>
      </c>
      <c r="B243" s="31" t="inlineStr">
        <is>
          <t>PID_PITCH_KP</t>
        </is>
      </c>
      <c r="C243" s="32" t="inlineStr">
        <is>
          <t>15</t>
        </is>
      </c>
      <c r="D243" s="32" t="inlineStr">
        <is>
          <t>0</t>
        </is>
      </c>
      <c r="E243" s="33" t="inlineStr">
        <is>
          <t>KP</t>
        </is>
      </c>
      <c r="F243" s="34" t="inlineStr">
        <is>
          <t>RW</t>
        </is>
      </c>
      <c r="G243" s="35" t="inlineStr">
        <is>
          <t>Pitch-rate Kp Q4.12.</t>
        </is>
      </c>
    </row>
    <row r="244" ht="32" customHeight="1">
      <c r="A244" s="5" t="inlineStr">
        <is>
          <t>0x3038</t>
        </is>
      </c>
      <c r="B244" s="25" t="inlineStr">
        <is>
          <t>PID_PITCH_KI</t>
        </is>
      </c>
      <c r="C244" s="26" t="inlineStr">
        <is>
          <t>31</t>
        </is>
      </c>
      <c r="D244" s="26" t="inlineStr">
        <is>
          <t>16</t>
        </is>
      </c>
      <c r="E244" s="27" t="inlineStr">
        <is>
          <t>RESERVED</t>
        </is>
      </c>
      <c r="F244" s="28" t="inlineStr">
        <is>
          <t>RW</t>
        </is>
      </c>
      <c r="G244" s="29" t="inlineStr">
        <is>
          <t>Reserved.</t>
        </is>
      </c>
    </row>
    <row r="245" ht="32" customHeight="1">
      <c r="A245" s="30" t="inlineStr">
        <is>
          <t>0x3038</t>
        </is>
      </c>
      <c r="B245" s="31" t="inlineStr">
        <is>
          <t>PID_PITCH_KI</t>
        </is>
      </c>
      <c r="C245" s="32" t="inlineStr">
        <is>
          <t>15</t>
        </is>
      </c>
      <c r="D245" s="32" t="inlineStr">
        <is>
          <t>0</t>
        </is>
      </c>
      <c r="E245" s="33" t="inlineStr">
        <is>
          <t>KI</t>
        </is>
      </c>
      <c r="F245" s="34" t="inlineStr">
        <is>
          <t>RW</t>
        </is>
      </c>
      <c r="G245" s="35" t="inlineStr">
        <is>
          <t>Pitch-rate Ki Q4.12.</t>
        </is>
      </c>
    </row>
    <row r="246" ht="32" customHeight="1">
      <c r="A246" s="5" t="inlineStr">
        <is>
          <t>0x303C</t>
        </is>
      </c>
      <c r="B246" s="25" t="inlineStr">
        <is>
          <t>PID_PITCH_KD</t>
        </is>
      </c>
      <c r="C246" s="26" t="inlineStr">
        <is>
          <t>31</t>
        </is>
      </c>
      <c r="D246" s="26" t="inlineStr">
        <is>
          <t>16</t>
        </is>
      </c>
      <c r="E246" s="27" t="inlineStr">
        <is>
          <t>RESERVED</t>
        </is>
      </c>
      <c r="F246" s="28" t="inlineStr">
        <is>
          <t>RW</t>
        </is>
      </c>
      <c r="G246" s="29" t="inlineStr">
        <is>
          <t>Reserved.</t>
        </is>
      </c>
    </row>
    <row r="247" ht="32" customHeight="1">
      <c r="A247" s="30" t="inlineStr">
        <is>
          <t>0x303C</t>
        </is>
      </c>
      <c r="B247" s="31" t="inlineStr">
        <is>
          <t>PID_PITCH_KD</t>
        </is>
      </c>
      <c r="C247" s="32" t="inlineStr">
        <is>
          <t>15</t>
        </is>
      </c>
      <c r="D247" s="32" t="inlineStr">
        <is>
          <t>0</t>
        </is>
      </c>
      <c r="E247" s="33" t="inlineStr">
        <is>
          <t>KD</t>
        </is>
      </c>
      <c r="F247" s="34" t="inlineStr">
        <is>
          <t>RW</t>
        </is>
      </c>
      <c r="G247" s="35" t="inlineStr">
        <is>
          <t>Pitch-rate Kd Q4.12.</t>
        </is>
      </c>
    </row>
    <row r="248" ht="32" customHeight="1">
      <c r="A248" s="5" t="inlineStr">
        <is>
          <t>0x3040</t>
        </is>
      </c>
      <c r="B248" s="25" t="inlineStr">
        <is>
          <t>PID_YAW_KP</t>
        </is>
      </c>
      <c r="C248" s="26" t="inlineStr">
        <is>
          <t>31</t>
        </is>
      </c>
      <c r="D248" s="26" t="inlineStr">
        <is>
          <t>16</t>
        </is>
      </c>
      <c r="E248" s="27" t="inlineStr">
        <is>
          <t>RESERVED</t>
        </is>
      </c>
      <c r="F248" s="28" t="inlineStr">
        <is>
          <t>RW</t>
        </is>
      </c>
      <c r="G248" s="29" t="inlineStr">
        <is>
          <t>Reserved.</t>
        </is>
      </c>
    </row>
    <row r="249" ht="32" customHeight="1">
      <c r="A249" s="30" t="inlineStr">
        <is>
          <t>0x3040</t>
        </is>
      </c>
      <c r="B249" s="31" t="inlineStr">
        <is>
          <t>PID_YAW_KP</t>
        </is>
      </c>
      <c r="C249" s="32" t="inlineStr">
        <is>
          <t>15</t>
        </is>
      </c>
      <c r="D249" s="32" t="inlineStr">
        <is>
          <t>0</t>
        </is>
      </c>
      <c r="E249" s="33" t="inlineStr">
        <is>
          <t>KP</t>
        </is>
      </c>
      <c r="F249" s="34" t="inlineStr">
        <is>
          <t>RW</t>
        </is>
      </c>
      <c r="G249" s="35" t="inlineStr">
        <is>
          <t>Yaw-rate Kp Q4.12.</t>
        </is>
      </c>
    </row>
    <row r="250" ht="32" customHeight="1">
      <c r="A250" s="5" t="inlineStr">
        <is>
          <t>0x3044</t>
        </is>
      </c>
      <c r="B250" s="25" t="inlineStr">
        <is>
          <t>PID_YAW_KI</t>
        </is>
      </c>
      <c r="C250" s="26" t="inlineStr">
        <is>
          <t>31</t>
        </is>
      </c>
      <c r="D250" s="26" t="inlineStr">
        <is>
          <t>16</t>
        </is>
      </c>
      <c r="E250" s="27" t="inlineStr">
        <is>
          <t>RESERVED</t>
        </is>
      </c>
      <c r="F250" s="28" t="inlineStr">
        <is>
          <t>RW</t>
        </is>
      </c>
      <c r="G250" s="29" t="inlineStr">
        <is>
          <t>Reserved.</t>
        </is>
      </c>
    </row>
    <row r="251" ht="32" customHeight="1">
      <c r="A251" s="30" t="inlineStr">
        <is>
          <t>0x3044</t>
        </is>
      </c>
      <c r="B251" s="31" t="inlineStr">
        <is>
          <t>PID_YAW_KI</t>
        </is>
      </c>
      <c r="C251" s="32" t="inlineStr">
        <is>
          <t>15</t>
        </is>
      </c>
      <c r="D251" s="32" t="inlineStr">
        <is>
          <t>0</t>
        </is>
      </c>
      <c r="E251" s="33" t="inlineStr">
        <is>
          <t>KI</t>
        </is>
      </c>
      <c r="F251" s="34" t="inlineStr">
        <is>
          <t>RW</t>
        </is>
      </c>
      <c r="G251" s="35" t="inlineStr">
        <is>
          <t>Yaw-rate Ki Q4.12.</t>
        </is>
      </c>
    </row>
    <row r="252" ht="32" customHeight="1">
      <c r="A252" s="5" t="inlineStr">
        <is>
          <t>0x3048</t>
        </is>
      </c>
      <c r="B252" s="25" t="inlineStr">
        <is>
          <t>PID_YAW_KD</t>
        </is>
      </c>
      <c r="C252" s="26" t="inlineStr">
        <is>
          <t>31</t>
        </is>
      </c>
      <c r="D252" s="26" t="inlineStr">
        <is>
          <t>16</t>
        </is>
      </c>
      <c r="E252" s="27" t="inlineStr">
        <is>
          <t>RESERVED</t>
        </is>
      </c>
      <c r="F252" s="28" t="inlineStr">
        <is>
          <t>RW</t>
        </is>
      </c>
      <c r="G252" s="29" t="inlineStr">
        <is>
          <t>Reserved.</t>
        </is>
      </c>
    </row>
    <row r="253" ht="32" customHeight="1">
      <c r="A253" s="30" t="inlineStr">
        <is>
          <t>0x3048</t>
        </is>
      </c>
      <c r="B253" s="31" t="inlineStr">
        <is>
          <t>PID_YAW_KD</t>
        </is>
      </c>
      <c r="C253" s="32" t="inlineStr">
        <is>
          <t>15</t>
        </is>
      </c>
      <c r="D253" s="32" t="inlineStr">
        <is>
          <t>0</t>
        </is>
      </c>
      <c r="E253" s="33" t="inlineStr">
        <is>
          <t>KD</t>
        </is>
      </c>
      <c r="F253" s="34" t="inlineStr">
        <is>
          <t>RW</t>
        </is>
      </c>
      <c r="G253" s="35" t="inlineStr">
        <is>
          <t>Yaw-rate Kd Q4.12.</t>
        </is>
      </c>
    </row>
    <row r="254" ht="32" customHeight="1">
      <c r="A254" s="5" t="inlineStr">
        <is>
          <t>0x304C</t>
        </is>
      </c>
      <c r="B254" s="25" t="inlineStr">
        <is>
          <t>PID_ALT_KP</t>
        </is>
      </c>
      <c r="C254" s="26" t="inlineStr">
        <is>
          <t>31</t>
        </is>
      </c>
      <c r="D254" s="26" t="inlineStr">
        <is>
          <t>16</t>
        </is>
      </c>
      <c r="E254" s="27" t="inlineStr">
        <is>
          <t>RESERVED</t>
        </is>
      </c>
      <c r="F254" s="28" t="inlineStr">
        <is>
          <t>RW</t>
        </is>
      </c>
      <c r="G254" s="29" t="inlineStr">
        <is>
          <t>Reserved.</t>
        </is>
      </c>
    </row>
    <row r="255" ht="32" customHeight="1">
      <c r="A255" s="30" t="inlineStr">
        <is>
          <t>0x304C</t>
        </is>
      </c>
      <c r="B255" s="31" t="inlineStr">
        <is>
          <t>PID_ALT_KP</t>
        </is>
      </c>
      <c r="C255" s="32" t="inlineStr">
        <is>
          <t>15</t>
        </is>
      </c>
      <c r="D255" s="32" t="inlineStr">
        <is>
          <t>0</t>
        </is>
      </c>
      <c r="E255" s="33" t="inlineStr">
        <is>
          <t>KP</t>
        </is>
      </c>
      <c r="F255" s="34" t="inlineStr">
        <is>
          <t>RW</t>
        </is>
      </c>
      <c r="G255" s="35" t="inlineStr">
        <is>
          <t>Alt Kp Q4.12.</t>
        </is>
      </c>
    </row>
    <row r="256" ht="32" customHeight="1">
      <c r="A256" s="5" t="inlineStr">
        <is>
          <t>0x3050</t>
        </is>
      </c>
      <c r="B256" s="25" t="inlineStr">
        <is>
          <t>PID_ALT_KI</t>
        </is>
      </c>
      <c r="C256" s="26" t="inlineStr">
        <is>
          <t>31</t>
        </is>
      </c>
      <c r="D256" s="26" t="inlineStr">
        <is>
          <t>16</t>
        </is>
      </c>
      <c r="E256" s="27" t="inlineStr">
        <is>
          <t>RESERVED</t>
        </is>
      </c>
      <c r="F256" s="28" t="inlineStr">
        <is>
          <t>RW</t>
        </is>
      </c>
      <c r="G256" s="29" t="inlineStr">
        <is>
          <t>Reserved.</t>
        </is>
      </c>
    </row>
    <row r="257" ht="32" customHeight="1">
      <c r="A257" s="30" t="inlineStr">
        <is>
          <t>0x3050</t>
        </is>
      </c>
      <c r="B257" s="31" t="inlineStr">
        <is>
          <t>PID_ALT_KI</t>
        </is>
      </c>
      <c r="C257" s="32" t="inlineStr">
        <is>
          <t>15</t>
        </is>
      </c>
      <c r="D257" s="32" t="inlineStr">
        <is>
          <t>0</t>
        </is>
      </c>
      <c r="E257" s="33" t="inlineStr">
        <is>
          <t>KI</t>
        </is>
      </c>
      <c r="F257" s="34" t="inlineStr">
        <is>
          <t>RW</t>
        </is>
      </c>
      <c r="G257" s="35" t="inlineStr">
        <is>
          <t>Alt Ki Q4.12.</t>
        </is>
      </c>
    </row>
    <row r="258" ht="32" customHeight="1">
      <c r="A258" s="5" t="inlineStr">
        <is>
          <t>0x3054</t>
        </is>
      </c>
      <c r="B258" s="25" t="inlineStr">
        <is>
          <t>PID_ALT_KD</t>
        </is>
      </c>
      <c r="C258" s="26" t="inlineStr">
        <is>
          <t>31</t>
        </is>
      </c>
      <c r="D258" s="26" t="inlineStr">
        <is>
          <t>16</t>
        </is>
      </c>
      <c r="E258" s="27" t="inlineStr">
        <is>
          <t>RESERVED</t>
        </is>
      </c>
      <c r="F258" s="28" t="inlineStr">
        <is>
          <t>RW</t>
        </is>
      </c>
      <c r="G258" s="29" t="inlineStr">
        <is>
          <t>Reserved.</t>
        </is>
      </c>
    </row>
    <row r="259" ht="32" customHeight="1">
      <c r="A259" s="30" t="inlineStr">
        <is>
          <t>0x3054</t>
        </is>
      </c>
      <c r="B259" s="31" t="inlineStr">
        <is>
          <t>PID_ALT_KD</t>
        </is>
      </c>
      <c r="C259" s="32" t="inlineStr">
        <is>
          <t>15</t>
        </is>
      </c>
      <c r="D259" s="32" t="inlineStr">
        <is>
          <t>0</t>
        </is>
      </c>
      <c r="E259" s="33" t="inlineStr">
        <is>
          <t>KD</t>
        </is>
      </c>
      <c r="F259" s="34" t="inlineStr">
        <is>
          <t>RW</t>
        </is>
      </c>
      <c r="G259" s="35" t="inlineStr">
        <is>
          <t>Alt Kd Q4.12.</t>
        </is>
      </c>
    </row>
    <row r="260" ht="32" customHeight="1">
      <c r="A260" s="5" t="inlineStr">
        <is>
          <t>0x3058</t>
        </is>
      </c>
      <c r="B260" s="25" t="inlineStr">
        <is>
          <t>PID_VEL_KP</t>
        </is>
      </c>
      <c r="C260" s="26" t="inlineStr">
        <is>
          <t>31</t>
        </is>
      </c>
      <c r="D260" s="26" t="inlineStr">
        <is>
          <t>16</t>
        </is>
      </c>
      <c r="E260" s="27" t="inlineStr">
        <is>
          <t>RESERVED</t>
        </is>
      </c>
      <c r="F260" s="28" t="inlineStr">
        <is>
          <t>RW</t>
        </is>
      </c>
      <c r="G260" s="29" t="inlineStr">
        <is>
          <t>Reserved.</t>
        </is>
      </c>
    </row>
    <row r="261" ht="32" customHeight="1">
      <c r="A261" s="30" t="inlineStr">
        <is>
          <t>0x3058</t>
        </is>
      </c>
      <c r="B261" s="31" t="inlineStr">
        <is>
          <t>PID_VEL_KP</t>
        </is>
      </c>
      <c r="C261" s="32" t="inlineStr">
        <is>
          <t>15</t>
        </is>
      </c>
      <c r="D261" s="32" t="inlineStr">
        <is>
          <t>0</t>
        </is>
      </c>
      <c r="E261" s="33" t="inlineStr">
        <is>
          <t>KP</t>
        </is>
      </c>
      <c r="F261" s="34" t="inlineStr">
        <is>
          <t>RW</t>
        </is>
      </c>
      <c r="G261" s="35" t="inlineStr">
        <is>
          <t>Vel Kp Q4.12.</t>
        </is>
      </c>
    </row>
    <row r="262" ht="32" customHeight="1">
      <c r="A262" s="5" t="inlineStr">
        <is>
          <t>0x305C</t>
        </is>
      </c>
      <c r="B262" s="25" t="inlineStr">
        <is>
          <t>PID_VEL_KI</t>
        </is>
      </c>
      <c r="C262" s="26" t="inlineStr">
        <is>
          <t>31</t>
        </is>
      </c>
      <c r="D262" s="26" t="inlineStr">
        <is>
          <t>16</t>
        </is>
      </c>
      <c r="E262" s="27" t="inlineStr">
        <is>
          <t>RESERVED</t>
        </is>
      </c>
      <c r="F262" s="28" t="inlineStr">
        <is>
          <t>RW</t>
        </is>
      </c>
      <c r="G262" s="29" t="inlineStr">
        <is>
          <t>Reserved.</t>
        </is>
      </c>
    </row>
    <row r="263" ht="32" customHeight="1">
      <c r="A263" s="30" t="inlineStr">
        <is>
          <t>0x305C</t>
        </is>
      </c>
      <c r="B263" s="31" t="inlineStr">
        <is>
          <t>PID_VEL_KI</t>
        </is>
      </c>
      <c r="C263" s="32" t="inlineStr">
        <is>
          <t>15</t>
        </is>
      </c>
      <c r="D263" s="32" t="inlineStr">
        <is>
          <t>0</t>
        </is>
      </c>
      <c r="E263" s="33" t="inlineStr">
        <is>
          <t>KI</t>
        </is>
      </c>
      <c r="F263" s="34" t="inlineStr">
        <is>
          <t>RW</t>
        </is>
      </c>
      <c r="G263" s="35" t="inlineStr">
        <is>
          <t>Vel Ki Q4.12.</t>
        </is>
      </c>
    </row>
    <row r="264" ht="32" customHeight="1">
      <c r="A264" s="5" t="inlineStr">
        <is>
          <t>0x3060</t>
        </is>
      </c>
      <c r="B264" s="25" t="inlineStr">
        <is>
          <t>NAV_FENCE_R</t>
        </is>
      </c>
      <c r="C264" s="26" t="inlineStr">
        <is>
          <t>31</t>
        </is>
      </c>
      <c r="D264" s="26" t="inlineStr">
        <is>
          <t>16</t>
        </is>
      </c>
      <c r="E264" s="27" t="inlineStr">
        <is>
          <t>RESERVED</t>
        </is>
      </c>
      <c r="F264" s="28" t="inlineStr">
        <is>
          <t>RW</t>
        </is>
      </c>
      <c r="G264" s="29" t="inlineStr">
        <is>
          <t>Reserved.</t>
        </is>
      </c>
    </row>
    <row r="265" ht="32" customHeight="1">
      <c r="A265" s="30" t="inlineStr">
        <is>
          <t>0x3060</t>
        </is>
      </c>
      <c r="B265" s="31" t="inlineStr">
        <is>
          <t>NAV_FENCE_R</t>
        </is>
      </c>
      <c r="C265" s="32" t="inlineStr">
        <is>
          <t>15</t>
        </is>
      </c>
      <c r="D265" s="32" t="inlineStr">
        <is>
          <t>0</t>
        </is>
      </c>
      <c r="E265" s="33" t="inlineStr">
        <is>
          <t>RADIUS_M</t>
        </is>
      </c>
      <c r="F265" s="34" t="inlineStr">
        <is>
          <t>RW</t>
        </is>
      </c>
      <c r="G265" s="35" t="inlineStr">
        <is>
          <t>Fence radius metres. Default 500.</t>
        </is>
      </c>
    </row>
    <row r="266" ht="32" customHeight="1">
      <c r="A266" s="5" t="inlineStr">
        <is>
          <t>0x3064</t>
        </is>
      </c>
      <c r="B266" s="25" t="inlineStr">
        <is>
          <t>NAV_FENCE_ALT</t>
        </is>
      </c>
      <c r="C266" s="26" t="inlineStr">
        <is>
          <t>31</t>
        </is>
      </c>
      <c r="D266" s="26" t="inlineStr">
        <is>
          <t>16</t>
        </is>
      </c>
      <c r="E266" s="27" t="inlineStr">
        <is>
          <t>RESERVED</t>
        </is>
      </c>
      <c r="F266" s="28" t="inlineStr">
        <is>
          <t>RW</t>
        </is>
      </c>
      <c r="G266" s="29" t="inlineStr">
        <is>
          <t>Reserved.</t>
        </is>
      </c>
    </row>
    <row r="267" ht="32" customHeight="1">
      <c r="A267" s="30" t="inlineStr">
        <is>
          <t>0x3064</t>
        </is>
      </c>
      <c r="B267" s="31" t="inlineStr">
        <is>
          <t>NAV_FENCE_ALT</t>
        </is>
      </c>
      <c r="C267" s="32" t="inlineStr">
        <is>
          <t>15</t>
        </is>
      </c>
      <c r="D267" s="32" t="inlineStr">
        <is>
          <t>0</t>
        </is>
      </c>
      <c r="E267" s="33" t="inlineStr">
        <is>
          <t>ALT_M</t>
        </is>
      </c>
      <c r="F267" s="34" t="inlineStr">
        <is>
          <t>RW</t>
        </is>
      </c>
      <c r="G267" s="35" t="inlineStr">
        <is>
          <t>Max altitude metres. Default 200.</t>
        </is>
      </c>
    </row>
    <row r="268" ht="32" customHeight="1">
      <c r="A268" s="5" t="inlineStr">
        <is>
          <t>0x3068</t>
        </is>
      </c>
      <c r="B268" s="25" t="inlineStr">
        <is>
          <t>NAV_TKOFF_ALT</t>
        </is>
      </c>
      <c r="C268" s="26" t="inlineStr">
        <is>
          <t>31</t>
        </is>
      </c>
      <c r="D268" s="26" t="inlineStr">
        <is>
          <t>8</t>
        </is>
      </c>
      <c r="E268" s="27" t="inlineStr">
        <is>
          <t>RESERVED</t>
        </is>
      </c>
      <c r="F268" s="28" t="inlineStr">
        <is>
          <t>RW</t>
        </is>
      </c>
      <c r="G268" s="29" t="inlineStr">
        <is>
          <t>Reserved.</t>
        </is>
      </c>
    </row>
    <row r="269" ht="32" customHeight="1">
      <c r="A269" s="30" t="inlineStr">
        <is>
          <t>0x3068</t>
        </is>
      </c>
      <c r="B269" s="31" t="inlineStr">
        <is>
          <t>NAV_TKOFF_ALT</t>
        </is>
      </c>
      <c r="C269" s="32" t="inlineStr">
        <is>
          <t>7</t>
        </is>
      </c>
      <c r="D269" s="32" t="inlineStr">
        <is>
          <t>0</t>
        </is>
      </c>
      <c r="E269" s="33" t="inlineStr">
        <is>
          <t>ALT_M</t>
        </is>
      </c>
      <c r="F269" s="34" t="inlineStr">
        <is>
          <t>RW</t>
        </is>
      </c>
      <c r="G269" s="35" t="inlineStr">
        <is>
          <t>Takeoff alt metres. Default 10.</t>
        </is>
      </c>
    </row>
    <row r="270" ht="32" customHeight="1">
      <c r="A270" s="5" t="inlineStr">
        <is>
          <t>0x306C</t>
        </is>
      </c>
      <c r="B270" s="25" t="inlineStr">
        <is>
          <t>NAV_WP_RADIUS</t>
        </is>
      </c>
      <c r="C270" s="26" t="inlineStr">
        <is>
          <t>31</t>
        </is>
      </c>
      <c r="D270" s="26" t="inlineStr">
        <is>
          <t>8</t>
        </is>
      </c>
      <c r="E270" s="27" t="inlineStr">
        <is>
          <t>RESERVED</t>
        </is>
      </c>
      <c r="F270" s="28" t="inlineStr">
        <is>
          <t>RW</t>
        </is>
      </c>
      <c r="G270" s="29" t="inlineStr">
        <is>
          <t>Reserved.</t>
        </is>
      </c>
    </row>
    <row r="271" ht="32" customHeight="1">
      <c r="A271" s="30" t="inlineStr">
        <is>
          <t>0x306C</t>
        </is>
      </c>
      <c r="B271" s="31" t="inlineStr">
        <is>
          <t>NAV_WP_RADIUS</t>
        </is>
      </c>
      <c r="C271" s="32" t="inlineStr">
        <is>
          <t>7</t>
        </is>
      </c>
      <c r="D271" s="32" t="inlineStr">
        <is>
          <t>0</t>
        </is>
      </c>
      <c r="E271" s="33" t="inlineStr">
        <is>
          <t>RADIUS_M</t>
        </is>
      </c>
      <c r="F271" s="34" t="inlineStr">
        <is>
          <t>RW</t>
        </is>
      </c>
      <c r="G271" s="35" t="inlineStr">
        <is>
          <t>WP capture radius. Default 2 m.</t>
        </is>
      </c>
    </row>
    <row r="272" ht="32" customHeight="1">
      <c r="A272" s="5" t="inlineStr">
        <is>
          <t>0x3070</t>
        </is>
      </c>
      <c r="B272" s="25" t="inlineStr">
        <is>
          <t>NAV_RTL_ALT</t>
        </is>
      </c>
      <c r="C272" s="26" t="inlineStr">
        <is>
          <t>31</t>
        </is>
      </c>
      <c r="D272" s="26" t="inlineStr">
        <is>
          <t>8</t>
        </is>
      </c>
      <c r="E272" s="27" t="inlineStr">
        <is>
          <t>RESERVED</t>
        </is>
      </c>
      <c r="F272" s="28" t="inlineStr">
        <is>
          <t>RW</t>
        </is>
      </c>
      <c r="G272" s="29" t="inlineStr">
        <is>
          <t>Reserved.</t>
        </is>
      </c>
    </row>
    <row r="273" ht="32" customHeight="1">
      <c r="A273" s="30" t="inlineStr">
        <is>
          <t>0x3070</t>
        </is>
      </c>
      <c r="B273" s="31" t="inlineStr">
        <is>
          <t>NAV_RTL_ALT</t>
        </is>
      </c>
      <c r="C273" s="32" t="inlineStr">
        <is>
          <t>7</t>
        </is>
      </c>
      <c r="D273" s="32" t="inlineStr">
        <is>
          <t>0</t>
        </is>
      </c>
      <c r="E273" s="33" t="inlineStr">
        <is>
          <t>RTL_ALT_M</t>
        </is>
      </c>
      <c r="F273" s="34" t="inlineStr">
        <is>
          <t>RW</t>
        </is>
      </c>
      <c r="G273" s="35" t="inlineStr">
        <is>
          <t>RTL alt metres. Default 50.</t>
        </is>
      </c>
    </row>
    <row r="274" ht="32" customHeight="1">
      <c r="A274" s="5" t="inlineStr">
        <is>
          <t>0x3074</t>
        </is>
      </c>
      <c r="B274" s="25" t="inlineStr">
        <is>
          <t>MAV_SYSID</t>
        </is>
      </c>
      <c r="C274" s="26" t="inlineStr">
        <is>
          <t>31</t>
        </is>
      </c>
      <c r="D274" s="26" t="inlineStr">
        <is>
          <t>16</t>
        </is>
      </c>
      <c r="E274" s="27" t="inlineStr">
        <is>
          <t>RESERVED</t>
        </is>
      </c>
      <c r="F274" s="28" t="inlineStr">
        <is>
          <t>RW</t>
        </is>
      </c>
      <c r="G274" s="29" t="inlineStr">
        <is>
          <t>Reserved.</t>
        </is>
      </c>
    </row>
    <row r="275" ht="32" customHeight="1">
      <c r="A275" s="30" t="inlineStr">
        <is>
          <t>0x3074</t>
        </is>
      </c>
      <c r="B275" s="31" t="inlineStr">
        <is>
          <t>MAV_SYSID</t>
        </is>
      </c>
      <c r="C275" s="32" t="inlineStr">
        <is>
          <t>15</t>
        </is>
      </c>
      <c r="D275" s="32" t="inlineStr">
        <is>
          <t>8</t>
        </is>
      </c>
      <c r="E275" s="33" t="inlineStr">
        <is>
          <t>SYSID</t>
        </is>
      </c>
      <c r="F275" s="34" t="inlineStr">
        <is>
          <t>RW</t>
        </is>
      </c>
      <c r="G275" s="35" t="inlineStr">
        <is>
          <t>MAVLink System ID. Must be unique per vehicle.</t>
        </is>
      </c>
    </row>
    <row r="276" ht="32" customHeight="1">
      <c r="A276" s="24" t="inlineStr">
        <is>
          <t>0x3074</t>
        </is>
      </c>
      <c r="B276" s="36" t="inlineStr">
        <is>
          <t>MAV_SYSID</t>
        </is>
      </c>
      <c r="C276" s="37" t="inlineStr">
        <is>
          <t>7</t>
        </is>
      </c>
      <c r="D276" s="37" t="inlineStr">
        <is>
          <t>0</t>
        </is>
      </c>
      <c r="E276" s="38" t="inlineStr">
        <is>
          <t>COMPID</t>
        </is>
      </c>
      <c r="F276" s="39" t="inlineStr">
        <is>
          <t>RW</t>
        </is>
      </c>
      <c r="G276" s="40" t="inlineStr">
        <is>
          <t>MAVLink Component ID. Default 1 (autopilot).</t>
        </is>
      </c>
    </row>
    <row r="277" ht="32" customHeight="1">
      <c r="A277" s="5" t="inlineStr">
        <is>
          <t>0x3078</t>
        </is>
      </c>
      <c r="B277" s="25" t="inlineStr">
        <is>
          <t>MOTOR_PWM_MIN</t>
        </is>
      </c>
      <c r="C277" s="26" t="inlineStr">
        <is>
          <t>31</t>
        </is>
      </c>
      <c r="D277" s="26" t="inlineStr">
        <is>
          <t>16</t>
        </is>
      </c>
      <c r="E277" s="27" t="inlineStr">
        <is>
          <t>RESERVED</t>
        </is>
      </c>
      <c r="F277" s="28" t="inlineStr">
        <is>
          <t>RW</t>
        </is>
      </c>
      <c r="G277" s="29" t="inlineStr">
        <is>
          <t>Reserved.</t>
        </is>
      </c>
    </row>
    <row r="278" ht="32" customHeight="1">
      <c r="A278" s="30" t="inlineStr">
        <is>
          <t>0x3078</t>
        </is>
      </c>
      <c r="B278" s="31" t="inlineStr">
        <is>
          <t>MOTOR_PWM_MIN</t>
        </is>
      </c>
      <c r="C278" s="32" t="inlineStr">
        <is>
          <t>15</t>
        </is>
      </c>
      <c r="D278" s="32" t="inlineStr">
        <is>
          <t>0</t>
        </is>
      </c>
      <c r="E278" s="33" t="inlineStr">
        <is>
          <t>PWM_MIN_US</t>
        </is>
      </c>
      <c r="F278" s="34" t="inlineStr">
        <is>
          <t>RW</t>
        </is>
      </c>
      <c r="G278" s="35" t="inlineStr">
        <is>
          <t>Min pulse µs. Default 1000.</t>
        </is>
      </c>
    </row>
    <row r="279" ht="32" customHeight="1">
      <c r="A279" s="5" t="inlineStr">
        <is>
          <t>0x307C</t>
        </is>
      </c>
      <c r="B279" s="25" t="inlineStr">
        <is>
          <t>MOTOR_PWM_MAX</t>
        </is>
      </c>
      <c r="C279" s="26" t="inlineStr">
        <is>
          <t>31</t>
        </is>
      </c>
      <c r="D279" s="26" t="inlineStr">
        <is>
          <t>16</t>
        </is>
      </c>
      <c r="E279" s="27" t="inlineStr">
        <is>
          <t>RESERVED</t>
        </is>
      </c>
      <c r="F279" s="28" t="inlineStr">
        <is>
          <t>RW</t>
        </is>
      </c>
      <c r="G279" s="29" t="inlineStr">
        <is>
          <t>Reserved.</t>
        </is>
      </c>
    </row>
    <row r="280" ht="32" customHeight="1">
      <c r="A280" s="30" t="inlineStr">
        <is>
          <t>0x307C</t>
        </is>
      </c>
      <c r="B280" s="31" t="inlineStr">
        <is>
          <t>MOTOR_PWM_MAX</t>
        </is>
      </c>
      <c r="C280" s="32" t="inlineStr">
        <is>
          <t>15</t>
        </is>
      </c>
      <c r="D280" s="32" t="inlineStr">
        <is>
          <t>0</t>
        </is>
      </c>
      <c r="E280" s="33" t="inlineStr">
        <is>
          <t>PWM_MAX_US</t>
        </is>
      </c>
      <c r="F280" s="34" t="inlineStr">
        <is>
          <t>RW</t>
        </is>
      </c>
      <c r="G280" s="35" t="inlineStr">
        <is>
          <t>Max pulse µs. Default 2000.</t>
        </is>
      </c>
    </row>
    <row r="281" ht="32" customHeight="1">
      <c r="A281" s="5" t="inlineStr">
        <is>
          <t>0x3080</t>
        </is>
      </c>
      <c r="B281" s="25" t="inlineStr">
        <is>
          <t>MOTOR_FREQ</t>
        </is>
      </c>
      <c r="C281" s="26" t="inlineStr">
        <is>
          <t>31</t>
        </is>
      </c>
      <c r="D281" s="26" t="inlineStr">
        <is>
          <t>16</t>
        </is>
      </c>
      <c r="E281" s="27" t="inlineStr">
        <is>
          <t>RESERVED</t>
        </is>
      </c>
      <c r="F281" s="28" t="inlineStr">
        <is>
          <t>RW</t>
        </is>
      </c>
      <c r="G281" s="29" t="inlineStr">
        <is>
          <t>Reserved.</t>
        </is>
      </c>
    </row>
    <row r="282" ht="32" customHeight="1">
      <c r="A282" s="30" t="inlineStr">
        <is>
          <t>0x3080</t>
        </is>
      </c>
      <c r="B282" s="31" t="inlineStr">
        <is>
          <t>MOTOR_FREQ</t>
        </is>
      </c>
      <c r="C282" s="32" t="inlineStr">
        <is>
          <t>15</t>
        </is>
      </c>
      <c r="D282" s="32" t="inlineStr">
        <is>
          <t>0</t>
        </is>
      </c>
      <c r="E282" s="33" t="inlineStr">
        <is>
          <t>FREQ_HZ</t>
        </is>
      </c>
      <c r="F282" s="34" t="inlineStr">
        <is>
          <t>RW</t>
        </is>
      </c>
      <c r="G282" s="35" t="inlineStr">
        <is>
          <t>PWM freq Hz. Default 400.</t>
        </is>
      </c>
    </row>
    <row r="283" ht="32" customHeight="1">
      <c r="A283" s="5" t="inlineStr">
        <is>
          <t>0x3084</t>
        </is>
      </c>
      <c r="B283" s="25" t="inlineStr">
        <is>
          <t>DBG_GPS_CNT</t>
        </is>
      </c>
      <c r="C283" s="26" t="inlineStr">
        <is>
          <t>31</t>
        </is>
      </c>
      <c r="D283" s="26" t="inlineStr">
        <is>
          <t>0</t>
        </is>
      </c>
      <c r="E283" s="27" t="inlineStr">
        <is>
          <t>GPS_CNT</t>
        </is>
      </c>
      <c r="F283" s="62" t="inlineStr">
        <is>
          <t>RO</t>
        </is>
      </c>
      <c r="G283" s="29" t="inlineStr">
        <is>
          <t>GPS fix count since reset.</t>
        </is>
      </c>
    </row>
    <row r="284" ht="32" customHeight="1">
      <c r="A284" s="5" t="inlineStr">
        <is>
          <t>0x3088</t>
        </is>
      </c>
      <c r="B284" s="25" t="inlineStr">
        <is>
          <t>DBG_PID_CNT</t>
        </is>
      </c>
      <c r="C284" s="26" t="inlineStr">
        <is>
          <t>31</t>
        </is>
      </c>
      <c r="D284" s="26" t="inlineStr">
        <is>
          <t>0</t>
        </is>
      </c>
      <c r="E284" s="27" t="inlineStr">
        <is>
          <t>PID_CNT</t>
        </is>
      </c>
      <c r="F284" s="62" t="inlineStr">
        <is>
          <t>RO</t>
        </is>
      </c>
      <c r="G284" s="29" t="inlineStr">
        <is>
          <t>PID compute cycles since reset.</t>
        </is>
      </c>
    </row>
    <row r="285" ht="32" customHeight="1">
      <c r="A285" s="5" t="inlineStr">
        <is>
          <t>0x308C</t>
        </is>
      </c>
      <c r="B285" s="25" t="inlineStr">
        <is>
          <t>DBG_CA_EVTS</t>
        </is>
      </c>
      <c r="C285" s="26" t="inlineStr">
        <is>
          <t>31</t>
        </is>
      </c>
      <c r="D285" s="26" t="inlineStr">
        <is>
          <t>16</t>
        </is>
      </c>
      <c r="E285" s="27" t="inlineStr">
        <is>
          <t>CA_OVERRIDES</t>
        </is>
      </c>
      <c r="F285" s="62" t="inlineStr">
        <is>
          <t>RO</t>
        </is>
      </c>
      <c r="G285" s="29" t="inlineStr">
        <is>
          <t>CA override activations (threat detected).</t>
        </is>
      </c>
    </row>
    <row r="286" ht="32" customHeight="1">
      <c r="A286" s="30" t="inlineStr">
        <is>
          <t>0x308C</t>
        </is>
      </c>
      <c r="B286" s="31" t="inlineStr">
        <is>
          <t>DBG_CA_EVTS</t>
        </is>
      </c>
      <c r="C286" s="32" t="inlineStr">
        <is>
          <t>15</t>
        </is>
      </c>
      <c r="D286" s="32" t="inlineStr">
        <is>
          <t>0</t>
        </is>
      </c>
      <c r="E286" s="33" t="inlineStr">
        <is>
          <t>CA_CLEARS</t>
        </is>
      </c>
      <c r="F286" s="63" t="inlineStr">
        <is>
          <t>RO</t>
        </is>
      </c>
      <c r="G286" s="35" t="inlineStr">
        <is>
          <t>CA override clears (threat resolved).</t>
        </is>
      </c>
    </row>
    <row r="287" ht="32" customHeight="1">
      <c r="A287" s="5" t="inlineStr">
        <is>
          <t>0x3090</t>
        </is>
      </c>
      <c r="B287" s="25" t="inlineStr">
        <is>
          <t>DBG_FAULT_LOG</t>
        </is>
      </c>
      <c r="C287" s="26" t="inlineStr">
        <is>
          <t>31</t>
        </is>
      </c>
      <c r="D287" s="26" t="inlineStr">
        <is>
          <t>8</t>
        </is>
      </c>
      <c r="E287" s="27" t="inlineStr">
        <is>
          <t>RESERVED</t>
        </is>
      </c>
      <c r="F287" s="72" t="inlineStr">
        <is>
          <t>W1C</t>
        </is>
      </c>
      <c r="G287" s="29" t="inlineStr">
        <is>
          <t>Reserved.</t>
        </is>
      </c>
    </row>
    <row r="288" ht="32" customHeight="1">
      <c r="A288" s="30" t="inlineStr">
        <is>
          <t>0x3090</t>
        </is>
      </c>
      <c r="B288" s="31" t="inlineStr">
        <is>
          <t>DBG_FAULT_LOG</t>
        </is>
      </c>
      <c r="C288" s="32" t="inlineStr">
        <is>
          <t>7</t>
        </is>
      </c>
      <c r="D288" s="32" t="inlineStr">
        <is>
          <t>7</t>
        </is>
      </c>
      <c r="E288" s="33" t="inlineStr">
        <is>
          <t>MAV_TMO</t>
        </is>
      </c>
      <c r="F288" s="73" t="inlineStr">
        <is>
          <t>W1C</t>
        </is>
      </c>
      <c r="G288" s="35" t="inlineStr">
        <is>
          <t>MAVLink heartbeat timeout (&gt; 3 s).</t>
        </is>
      </c>
    </row>
    <row r="289" ht="32" customHeight="1">
      <c r="A289" s="24" t="inlineStr">
        <is>
          <t>0x3090</t>
        </is>
      </c>
      <c r="B289" s="36" t="inlineStr">
        <is>
          <t>DBG_FAULT_LOG</t>
        </is>
      </c>
      <c r="C289" s="37" t="inlineStr">
        <is>
          <t>6</t>
        </is>
      </c>
      <c r="D289" s="37" t="inlineStr">
        <is>
          <t>6</t>
        </is>
      </c>
      <c r="E289" s="38" t="inlineStr">
        <is>
          <t>GPS_LOST</t>
        </is>
      </c>
      <c r="F289" s="74" t="inlineStr">
        <is>
          <t>W1C</t>
        </is>
      </c>
      <c r="G289" s="40" t="inlineStr">
        <is>
          <t>GPS lock lost during flight.</t>
        </is>
      </c>
    </row>
    <row r="290" ht="32" customHeight="1">
      <c r="A290" s="41" t="inlineStr">
        <is>
          <t>0x3090</t>
        </is>
      </c>
      <c r="B290" s="42" t="inlineStr">
        <is>
          <t>DBG_FAULT_LOG</t>
        </is>
      </c>
      <c r="C290" s="43" t="inlineStr">
        <is>
          <t>5</t>
        </is>
      </c>
      <c r="D290" s="43" t="inlineStr">
        <is>
          <t>5</t>
        </is>
      </c>
      <c r="E290" s="44" t="inlineStr">
        <is>
          <t>BARO_FAIL</t>
        </is>
      </c>
      <c r="F290" s="75" t="inlineStr">
        <is>
          <t>W1C</t>
        </is>
      </c>
      <c r="G290" s="46" t="inlineStr">
        <is>
          <t>Barometer SPI/I2C timeout.</t>
        </is>
      </c>
    </row>
    <row r="291" ht="32" customHeight="1">
      <c r="A291" s="22" t="inlineStr">
        <is>
          <t>0x3090</t>
        </is>
      </c>
      <c r="B291" s="47" t="inlineStr">
        <is>
          <t>DBG_FAULT_LOG</t>
        </is>
      </c>
      <c r="C291" s="48" t="inlineStr">
        <is>
          <t>4</t>
        </is>
      </c>
      <c r="D291" s="48" t="inlineStr">
        <is>
          <t>4</t>
        </is>
      </c>
      <c r="E291" s="49" t="inlineStr">
        <is>
          <t>IMU_FAIL</t>
        </is>
      </c>
      <c r="F291" s="76" t="inlineStr">
        <is>
          <t>W1C</t>
        </is>
      </c>
      <c r="G291" s="51" t="inlineStr">
        <is>
          <t>IMU SPI timeout.</t>
        </is>
      </c>
    </row>
    <row r="292" ht="32" customHeight="1">
      <c r="A292" s="52" t="inlineStr">
        <is>
          <t>0x3090</t>
        </is>
      </c>
      <c r="B292" s="53" t="inlineStr">
        <is>
          <t>DBG_FAULT_LOG</t>
        </is>
      </c>
      <c r="C292" s="54" t="inlineStr">
        <is>
          <t>3</t>
        </is>
      </c>
      <c r="D292" s="54" t="inlineStr">
        <is>
          <t>3</t>
        </is>
      </c>
      <c r="E292" s="55" t="inlineStr">
        <is>
          <t>GEOFENCE</t>
        </is>
      </c>
      <c r="F292" s="77" t="inlineStr">
        <is>
          <t>W1C</t>
        </is>
      </c>
      <c r="G292" s="57" t="inlineStr">
        <is>
          <t>Geofence boundary breached.</t>
        </is>
      </c>
    </row>
    <row r="293" ht="32" customHeight="1">
      <c r="A293" s="58" t="inlineStr">
        <is>
          <t>0x3090</t>
        </is>
      </c>
      <c r="B293" s="59" t="inlineStr">
        <is>
          <t>DBG_FAULT_LOG</t>
        </is>
      </c>
      <c r="C293" s="60" t="inlineStr">
        <is>
          <t>2</t>
        </is>
      </c>
      <c r="D293" s="60" t="inlineStr">
        <is>
          <t>2</t>
        </is>
      </c>
      <c r="E293" s="16" t="inlineStr">
        <is>
          <t>MOTOR_OVR</t>
        </is>
      </c>
      <c r="F293" s="17" t="inlineStr">
        <is>
          <t>W1C</t>
        </is>
      </c>
      <c r="G293" s="20" t="inlineStr">
        <is>
          <t>All 4 motors at saturation simultaneously.</t>
        </is>
      </c>
    </row>
    <row r="294" ht="32" customHeight="1">
      <c r="A294" s="69" t="inlineStr">
        <is>
          <t>0x3090</t>
        </is>
      </c>
      <c r="B294" s="70" t="inlineStr">
        <is>
          <t>DBG_FAULT_LOG</t>
        </is>
      </c>
      <c r="C294" s="71" t="inlineStr">
        <is>
          <t>1</t>
        </is>
      </c>
      <c r="D294" s="71" t="inlineStr">
        <is>
          <t>1</t>
        </is>
      </c>
      <c r="E294" s="11" t="inlineStr">
        <is>
          <t>WDT_EXP</t>
        </is>
      </c>
      <c r="F294" s="78" t="inlineStr">
        <is>
          <t>W1C</t>
        </is>
      </c>
      <c r="G294" s="15" t="inlineStr">
        <is>
          <t>UAV watchdog expired.</t>
        </is>
      </c>
    </row>
    <row r="295" ht="32" customHeight="1">
      <c r="A295" s="5" t="inlineStr">
        <is>
          <t>0x3090</t>
        </is>
      </c>
      <c r="B295" s="25" t="inlineStr">
        <is>
          <t>DBG_FAULT_LOG</t>
        </is>
      </c>
      <c r="C295" s="26" t="inlineStr">
        <is>
          <t>0</t>
        </is>
      </c>
      <c r="D295" s="26" t="inlineStr">
        <is>
          <t>0</t>
        </is>
      </c>
      <c r="E295" s="27" t="inlineStr">
        <is>
          <t>EMERGENCY</t>
        </is>
      </c>
      <c r="F295" s="72" t="inlineStr">
        <is>
          <t>W1C</t>
        </is>
      </c>
      <c r="G295" s="29" t="inlineStr">
        <is>
          <t>Emergency state entered (manual clear required).</t>
        </is>
      </c>
    </row>
    <row r="296" ht="20" customHeight="1">
      <c r="A296" s="21" t="inlineStr">
        <is>
          <t>▶  UAV 2</t>
        </is>
      </c>
    </row>
    <row r="297" ht="32" customHeight="1">
      <c r="A297" s="5" t="inlineStr">
        <is>
          <t>0x4000</t>
        </is>
      </c>
      <c r="B297" s="25" t="inlineStr">
        <is>
          <t>UAV_CTRL</t>
        </is>
      </c>
      <c r="C297" s="26" t="inlineStr">
        <is>
          <t>31</t>
        </is>
      </c>
      <c r="D297" s="26" t="inlineStr">
        <is>
          <t>24</t>
        </is>
      </c>
      <c r="E297" s="27" t="inlineStr">
        <is>
          <t>RESERVED</t>
        </is>
      </c>
      <c r="F297" s="28" t="inlineStr">
        <is>
          <t>RW</t>
        </is>
      </c>
      <c r="G297" s="29" t="inlineStr">
        <is>
          <t>Reserved.</t>
        </is>
      </c>
    </row>
    <row r="298" ht="32" customHeight="1">
      <c r="A298" s="30" t="inlineStr">
        <is>
          <t>0x4000</t>
        </is>
      </c>
      <c r="B298" s="31" t="inlineStr">
        <is>
          <t>UAV_CTRL</t>
        </is>
      </c>
      <c r="C298" s="32" t="inlineStr">
        <is>
          <t>23</t>
        </is>
      </c>
      <c r="D298" s="32" t="inlineStr">
        <is>
          <t>16</t>
        </is>
      </c>
      <c r="E298" s="33" t="inlineStr">
        <is>
          <t>ARM_KEY</t>
        </is>
      </c>
      <c r="F298" s="34" t="inlineStr">
        <is>
          <t>RW</t>
        </is>
      </c>
      <c r="G298" s="35" t="inlineStr">
        <is>
          <t>Write 0xA5 (with UAV_EN=1) to arm. Safety interlock.</t>
        </is>
      </c>
    </row>
    <row r="299" ht="32" customHeight="1">
      <c r="A299" s="24" t="inlineStr">
        <is>
          <t>0x4000</t>
        </is>
      </c>
      <c r="B299" s="36" t="inlineStr">
        <is>
          <t>UAV_CTRL</t>
        </is>
      </c>
      <c r="C299" s="37" t="inlineStr">
        <is>
          <t>15</t>
        </is>
      </c>
      <c r="D299" s="37" t="inlineStr">
        <is>
          <t>12</t>
        </is>
      </c>
      <c r="E299" s="38" t="inlineStr">
        <is>
          <t>FLIGHT_MODE</t>
        </is>
      </c>
      <c r="F299" s="39" t="inlineStr">
        <is>
          <t>RW</t>
        </is>
      </c>
      <c r="G299" s="40" t="inlineStr">
        <is>
          <t>0=STABILIZE 1=ALT_HOLD 2=POS_HOLD 3=AUTO 4=RTL 5=LAND</t>
        </is>
      </c>
    </row>
    <row r="300" ht="32" customHeight="1">
      <c r="A300" s="41" t="inlineStr">
        <is>
          <t>0x4000</t>
        </is>
      </c>
      <c r="B300" s="42" t="inlineStr">
        <is>
          <t>UAV_CTRL</t>
        </is>
      </c>
      <c r="C300" s="43" t="inlineStr">
        <is>
          <t>5</t>
        </is>
      </c>
      <c r="D300" s="43" t="inlineStr">
        <is>
          <t>5</t>
        </is>
      </c>
      <c r="E300" s="44" t="inlineStr">
        <is>
          <t>EKF_EN</t>
        </is>
      </c>
      <c r="F300" s="45" t="inlineStr">
        <is>
          <t>RW</t>
        </is>
      </c>
      <c r="G300" s="46" t="inlineStr">
        <is>
          <t>1=Enable 9-state EKF.</t>
        </is>
      </c>
    </row>
    <row r="301" ht="32" customHeight="1">
      <c r="A301" s="22" t="inlineStr">
        <is>
          <t>0x4000</t>
        </is>
      </c>
      <c r="B301" s="47" t="inlineStr">
        <is>
          <t>UAV_CTRL</t>
        </is>
      </c>
      <c r="C301" s="48" t="inlineStr">
        <is>
          <t>4</t>
        </is>
      </c>
      <c r="D301" s="48" t="inlineStr">
        <is>
          <t>4</t>
        </is>
      </c>
      <c r="E301" s="49" t="inlineStr">
        <is>
          <t>PID_EN</t>
        </is>
      </c>
      <c r="F301" s="50" t="inlineStr">
        <is>
          <t>RW</t>
        </is>
      </c>
      <c r="G301" s="51" t="inlineStr">
        <is>
          <t>1=Enable PID. 0=zero all motor outputs.</t>
        </is>
      </c>
    </row>
    <row r="302" ht="32" customHeight="1">
      <c r="A302" s="52" t="inlineStr">
        <is>
          <t>0x4000</t>
        </is>
      </c>
      <c r="B302" s="53" t="inlineStr">
        <is>
          <t>UAV_CTRL</t>
        </is>
      </c>
      <c r="C302" s="54" t="inlineStr">
        <is>
          <t>3</t>
        </is>
      </c>
      <c r="D302" s="54" t="inlineStr">
        <is>
          <t>3</t>
        </is>
      </c>
      <c r="E302" s="55" t="inlineStr">
        <is>
          <t>NAV_EN</t>
        </is>
      </c>
      <c r="F302" s="56" t="inlineStr">
        <is>
          <t>RW</t>
        </is>
      </c>
      <c r="G302" s="57" t="inlineStr">
        <is>
          <t>1=Enable waypoint navigation FSM.</t>
        </is>
      </c>
    </row>
    <row r="303" ht="32" customHeight="1">
      <c r="A303" s="58" t="inlineStr">
        <is>
          <t>0x4000</t>
        </is>
      </c>
      <c r="B303" s="59" t="inlineStr">
        <is>
          <t>UAV_CTRL</t>
        </is>
      </c>
      <c r="C303" s="60" t="inlineStr">
        <is>
          <t>2</t>
        </is>
      </c>
      <c r="D303" s="60" t="inlineStr">
        <is>
          <t>2</t>
        </is>
      </c>
      <c r="E303" s="16" t="inlineStr">
        <is>
          <t>MAV_EN</t>
        </is>
      </c>
      <c r="F303" s="61" t="inlineStr">
        <is>
          <t>RW</t>
        </is>
      </c>
      <c r="G303" s="20" t="inlineStr">
        <is>
          <t>1=Enable MAVLink stack.</t>
        </is>
      </c>
    </row>
    <row r="304" ht="32" customHeight="1">
      <c r="A304" s="69" t="inlineStr">
        <is>
          <t>0x4000</t>
        </is>
      </c>
      <c r="B304" s="70" t="inlineStr">
        <is>
          <t>UAV_CTRL</t>
        </is>
      </c>
      <c r="C304" s="71" t="inlineStr">
        <is>
          <t>1</t>
        </is>
      </c>
      <c r="D304" s="71" t="inlineStr">
        <is>
          <t>1</t>
        </is>
      </c>
      <c r="E304" s="11" t="inlineStr">
        <is>
          <t>SOFT_RST</t>
        </is>
      </c>
      <c r="F304" s="79" t="inlineStr">
        <is>
          <t>RW</t>
        </is>
      </c>
      <c r="G304" s="15" t="inlineStr">
        <is>
          <t>Write 1 to soft-reset (self-clearing, 8 cycles).</t>
        </is>
      </c>
    </row>
    <row r="305" ht="32" customHeight="1">
      <c r="A305" s="5" t="inlineStr">
        <is>
          <t>0x4000</t>
        </is>
      </c>
      <c r="B305" s="25" t="inlineStr">
        <is>
          <t>UAV_CTRL</t>
        </is>
      </c>
      <c r="C305" s="26" t="inlineStr">
        <is>
          <t>0</t>
        </is>
      </c>
      <c r="D305" s="26" t="inlineStr">
        <is>
          <t>0</t>
        </is>
      </c>
      <c r="E305" s="27" t="inlineStr">
        <is>
          <t>UAV_EN</t>
        </is>
      </c>
      <c r="F305" s="28" t="inlineStr">
        <is>
          <t>RW</t>
        </is>
      </c>
      <c r="G305" s="29" t="inlineStr">
        <is>
          <t>1=UAV subsystem enabled.</t>
        </is>
      </c>
    </row>
    <row r="306" ht="32" customHeight="1">
      <c r="A306" s="5" t="inlineStr">
        <is>
          <t>0x4004</t>
        </is>
      </c>
      <c r="B306" s="25" t="inlineStr">
        <is>
          <t>UAV_STATUS</t>
        </is>
      </c>
      <c r="C306" s="26" t="inlineStr">
        <is>
          <t>31</t>
        </is>
      </c>
      <c r="D306" s="26" t="inlineStr">
        <is>
          <t>28</t>
        </is>
      </c>
      <c r="E306" s="27" t="inlineStr">
        <is>
          <t>NAV_STATE</t>
        </is>
      </c>
      <c r="F306" s="62" t="inlineStr">
        <is>
          <t>RO</t>
        </is>
      </c>
      <c r="G306" s="29" t="inlineStr">
        <is>
          <t>0=DISARMD 1=ARMED 2=TAKEOFF 3=EN_ROUTE 4=LOITER 5=LAND 6=RTL 7=EMRG</t>
        </is>
      </c>
    </row>
    <row r="307" ht="32" customHeight="1">
      <c r="A307" s="30" t="inlineStr">
        <is>
          <t>0x4004</t>
        </is>
      </c>
      <c r="B307" s="31" t="inlineStr">
        <is>
          <t>UAV_STATUS</t>
        </is>
      </c>
      <c r="C307" s="32" t="inlineStr">
        <is>
          <t>27</t>
        </is>
      </c>
      <c r="D307" s="32" t="inlineStr">
        <is>
          <t>24</t>
        </is>
      </c>
      <c r="E307" s="33" t="inlineStr">
        <is>
          <t>FAULT_CODE</t>
        </is>
      </c>
      <c r="F307" s="63" t="inlineStr">
        <is>
          <t>RO</t>
        </is>
      </c>
      <c r="G307" s="35" t="inlineStr">
        <is>
          <t>0=none 1=GPS_LOST 2=IMU_FAIL 3=MTR_OVR 4=FENCE 5=WDT</t>
        </is>
      </c>
    </row>
    <row r="308" ht="32" customHeight="1">
      <c r="A308" s="24" t="inlineStr">
        <is>
          <t>0x4004</t>
        </is>
      </c>
      <c r="B308" s="36" t="inlineStr">
        <is>
          <t>UAV_STATUS</t>
        </is>
      </c>
      <c r="C308" s="37" t="inlineStr">
        <is>
          <t>23</t>
        </is>
      </c>
      <c r="D308" s="37" t="inlineStr">
        <is>
          <t>23</t>
        </is>
      </c>
      <c r="E308" s="38" t="inlineStr">
        <is>
          <t>ARMED</t>
        </is>
      </c>
      <c r="F308" s="64" t="inlineStr">
        <is>
          <t>RO</t>
        </is>
      </c>
      <c r="G308" s="40" t="inlineStr">
        <is>
          <t>1=Motors armed.</t>
        </is>
      </c>
    </row>
    <row r="309" ht="32" customHeight="1">
      <c r="A309" s="41" t="inlineStr">
        <is>
          <t>0x4004</t>
        </is>
      </c>
      <c r="B309" s="42" t="inlineStr">
        <is>
          <t>UAV_STATUS</t>
        </is>
      </c>
      <c r="C309" s="43" t="inlineStr">
        <is>
          <t>22</t>
        </is>
      </c>
      <c r="D309" s="43" t="inlineStr">
        <is>
          <t>22</t>
        </is>
      </c>
      <c r="E309" s="44" t="inlineStr">
        <is>
          <t>GPS_LOCK</t>
        </is>
      </c>
      <c r="F309" s="65" t="inlineStr">
        <is>
          <t>RO</t>
        </is>
      </c>
      <c r="G309" s="46" t="inlineStr">
        <is>
          <t>1=GPS fix (≥4 sats, HDOP &lt; 3.0).</t>
        </is>
      </c>
    </row>
    <row r="310" ht="32" customHeight="1">
      <c r="A310" s="22" t="inlineStr">
        <is>
          <t>0x4004</t>
        </is>
      </c>
      <c r="B310" s="47" t="inlineStr">
        <is>
          <t>UAV_STATUS</t>
        </is>
      </c>
      <c r="C310" s="48" t="inlineStr">
        <is>
          <t>21</t>
        </is>
      </c>
      <c r="D310" s="48" t="inlineStr">
        <is>
          <t>21</t>
        </is>
      </c>
      <c r="E310" s="49" t="inlineStr">
        <is>
          <t>MAV_LINK</t>
        </is>
      </c>
      <c r="F310" s="66" t="inlineStr">
        <is>
          <t>RO</t>
        </is>
      </c>
      <c r="G310" s="51" t="inlineStr">
        <is>
          <t>1=MAVLink heartbeat &lt; 3 s ago.</t>
        </is>
      </c>
    </row>
    <row r="311" ht="32" customHeight="1">
      <c r="A311" s="52" t="inlineStr">
        <is>
          <t>0x4004</t>
        </is>
      </c>
      <c r="B311" s="53" t="inlineStr">
        <is>
          <t>UAV_STATUS</t>
        </is>
      </c>
      <c r="C311" s="54" t="inlineStr">
        <is>
          <t>20</t>
        </is>
      </c>
      <c r="D311" s="54" t="inlineStr">
        <is>
          <t>20</t>
        </is>
      </c>
      <c r="E311" s="55" t="inlineStr">
        <is>
          <t>BARO_OK</t>
        </is>
      </c>
      <c r="F311" s="67" t="inlineStr">
        <is>
          <t>RO</t>
        </is>
      </c>
      <c r="G311" s="57" t="inlineStr">
        <is>
          <t>1=Barometer fresh (&lt; 100 ms).</t>
        </is>
      </c>
    </row>
    <row r="312" ht="32" customHeight="1">
      <c r="A312" s="58" t="inlineStr">
        <is>
          <t>0x4004</t>
        </is>
      </c>
      <c r="B312" s="59" t="inlineStr">
        <is>
          <t>UAV_STATUS</t>
        </is>
      </c>
      <c r="C312" s="60" t="inlineStr">
        <is>
          <t>19</t>
        </is>
      </c>
      <c r="D312" s="60" t="inlineStr">
        <is>
          <t>19</t>
        </is>
      </c>
      <c r="E312" s="16" t="inlineStr">
        <is>
          <t>TOF_ACTIVE</t>
        </is>
      </c>
      <c r="F312" s="68" t="inlineStr">
        <is>
          <t>RO</t>
        </is>
      </c>
      <c r="G312" s="20" t="inlineStr">
        <is>
          <t>1=ToF ranging active (alt &lt; 10 m AGL).</t>
        </is>
      </c>
    </row>
    <row r="313" ht="32" customHeight="1">
      <c r="A313" s="69" t="inlineStr">
        <is>
          <t>0x4004</t>
        </is>
      </c>
      <c r="B313" s="70" t="inlineStr">
        <is>
          <t>UAV_STATUS</t>
        </is>
      </c>
      <c r="C313" s="71" t="inlineStr">
        <is>
          <t>18</t>
        </is>
      </c>
      <c r="D313" s="71" t="inlineStr">
        <is>
          <t>18</t>
        </is>
      </c>
      <c r="E313" s="11" t="inlineStr">
        <is>
          <t>CA_ACTIVE</t>
        </is>
      </c>
      <c r="F313" s="12" t="inlineStr">
        <is>
          <t>RO</t>
        </is>
      </c>
      <c r="G313" s="15" t="inlineStr">
        <is>
          <t>1=Collision avoidance override active.</t>
        </is>
      </c>
    </row>
    <row r="314" ht="32" customHeight="1">
      <c r="A314" s="5" t="inlineStr">
        <is>
          <t>0x4004</t>
        </is>
      </c>
      <c r="B314" s="25" t="inlineStr">
        <is>
          <t>UAV_STATUS</t>
        </is>
      </c>
      <c r="C314" s="26" t="inlineStr">
        <is>
          <t>17</t>
        </is>
      </c>
      <c r="D314" s="26" t="inlineStr">
        <is>
          <t>17</t>
        </is>
      </c>
      <c r="E314" s="27" t="inlineStr">
        <is>
          <t>FENCE_WARN</t>
        </is>
      </c>
      <c r="F314" s="62" t="inlineStr">
        <is>
          <t>RO</t>
        </is>
      </c>
      <c r="G314" s="29" t="inlineStr">
        <is>
          <t>1=Within 5 m of geofence boundary.</t>
        </is>
      </c>
    </row>
    <row r="315" ht="32" customHeight="1">
      <c r="A315" s="30" t="inlineStr">
        <is>
          <t>0x4004</t>
        </is>
      </c>
      <c r="B315" s="31" t="inlineStr">
        <is>
          <t>UAV_STATUS</t>
        </is>
      </c>
      <c r="C315" s="32" t="inlineStr">
        <is>
          <t>16</t>
        </is>
      </c>
      <c r="D315" s="32" t="inlineStr">
        <is>
          <t>16</t>
        </is>
      </c>
      <c r="E315" s="33" t="inlineStr">
        <is>
          <t>EKF_CONV</t>
        </is>
      </c>
      <c r="F315" s="63" t="inlineStr">
        <is>
          <t>RO</t>
        </is>
      </c>
      <c r="G315" s="35" t="inlineStr">
        <is>
          <t>1=9-state EKF converged.</t>
        </is>
      </c>
    </row>
    <row r="316" ht="32" customHeight="1">
      <c r="A316" s="24" t="inlineStr">
        <is>
          <t>0x4004</t>
        </is>
      </c>
      <c r="B316" s="36" t="inlineStr">
        <is>
          <t>UAV_STATUS</t>
        </is>
      </c>
      <c r="C316" s="37" t="inlineStr">
        <is>
          <t>15</t>
        </is>
      </c>
      <c r="D316" s="37" t="inlineStr">
        <is>
          <t>12</t>
        </is>
      </c>
      <c r="E316" s="38" t="inlineStr">
        <is>
          <t>WP_IDX</t>
        </is>
      </c>
      <c r="F316" s="64" t="inlineStr">
        <is>
          <t>RO</t>
        </is>
      </c>
      <c r="G316" s="40" t="inlineStr">
        <is>
          <t>Current waypoint index 0–31.</t>
        </is>
      </c>
    </row>
    <row r="317" ht="32" customHeight="1">
      <c r="A317" s="41" t="inlineStr">
        <is>
          <t>0x4004</t>
        </is>
      </c>
      <c r="B317" s="42" t="inlineStr">
        <is>
          <t>UAV_STATUS</t>
        </is>
      </c>
      <c r="C317" s="43" t="inlineStr">
        <is>
          <t>11</t>
        </is>
      </c>
      <c r="D317" s="43" t="inlineStr">
        <is>
          <t>8</t>
        </is>
      </c>
      <c r="E317" s="44" t="inlineStr">
        <is>
          <t>RESERVED</t>
        </is>
      </c>
      <c r="F317" s="65" t="inlineStr">
        <is>
          <t>RO</t>
        </is>
      </c>
      <c r="G317" s="46" t="inlineStr">
        <is>
          <t>Reserved.</t>
        </is>
      </c>
    </row>
    <row r="318" ht="32" customHeight="1">
      <c r="A318" s="22" t="inlineStr">
        <is>
          <t>0x4004</t>
        </is>
      </c>
      <c r="B318" s="47" t="inlineStr">
        <is>
          <t>UAV_STATUS</t>
        </is>
      </c>
      <c r="C318" s="48" t="inlineStr">
        <is>
          <t>7</t>
        </is>
      </c>
      <c r="D318" s="48" t="inlineStr">
        <is>
          <t>4</t>
        </is>
      </c>
      <c r="E318" s="49" t="inlineStr">
        <is>
          <t>SV_COUNT</t>
        </is>
      </c>
      <c r="F318" s="66" t="inlineStr">
        <is>
          <t>RO</t>
        </is>
      </c>
      <c r="G318" s="51" t="inlineStr">
        <is>
          <t>GPS satellites in view (0–15).</t>
        </is>
      </c>
    </row>
    <row r="319" ht="32" customHeight="1">
      <c r="A319" s="52" t="inlineStr">
        <is>
          <t>0x4004</t>
        </is>
      </c>
      <c r="B319" s="53" t="inlineStr">
        <is>
          <t>UAV_STATUS</t>
        </is>
      </c>
      <c r="C319" s="54" t="inlineStr">
        <is>
          <t>3</t>
        </is>
      </c>
      <c r="D319" s="54" t="inlineStr">
        <is>
          <t>0</t>
        </is>
      </c>
      <c r="E319" s="55" t="inlineStr">
        <is>
          <t>WDT_COUNT</t>
        </is>
      </c>
      <c r="F319" s="67" t="inlineStr">
        <is>
          <t>RO</t>
        </is>
      </c>
      <c r="G319" s="57" t="inlineStr">
        <is>
          <t>Watchdog kick count modulo 16.</t>
        </is>
      </c>
    </row>
    <row r="320" ht="32" customHeight="1">
      <c r="A320" s="5" t="inlineStr">
        <is>
          <t>0x4008</t>
        </is>
      </c>
      <c r="B320" s="25" t="inlineStr">
        <is>
          <t>EKF9_Q_POS</t>
        </is>
      </c>
      <c r="C320" s="26" t="inlineStr">
        <is>
          <t>31</t>
        </is>
      </c>
      <c r="D320" s="26" t="inlineStr">
        <is>
          <t>0</t>
        </is>
      </c>
      <c r="E320" s="27" t="inlineStr">
        <is>
          <t>Q_POS</t>
        </is>
      </c>
      <c r="F320" s="28" t="inlineStr">
        <is>
          <t>RW</t>
        </is>
      </c>
      <c r="G320" s="29" t="inlineStr">
        <is>
          <t>Position noise variance m² Q10.22.</t>
        </is>
      </c>
    </row>
    <row r="321" ht="32" customHeight="1">
      <c r="A321" s="5" t="inlineStr">
        <is>
          <t>0x400C</t>
        </is>
      </c>
      <c r="B321" s="25" t="inlineStr">
        <is>
          <t>EKF9_Q_VEL</t>
        </is>
      </c>
      <c r="C321" s="26" t="inlineStr">
        <is>
          <t>31</t>
        </is>
      </c>
      <c r="D321" s="26" t="inlineStr">
        <is>
          <t>0</t>
        </is>
      </c>
      <c r="E321" s="27" t="inlineStr">
        <is>
          <t>Q_VEL</t>
        </is>
      </c>
      <c r="F321" s="28" t="inlineStr">
        <is>
          <t>RW</t>
        </is>
      </c>
      <c r="G321" s="29" t="inlineStr">
        <is>
          <t>Velocity noise variance Q4.28.</t>
        </is>
      </c>
    </row>
    <row r="322" ht="32" customHeight="1">
      <c r="A322" s="5" t="inlineStr">
        <is>
          <t>0x4010</t>
        </is>
      </c>
      <c r="B322" s="25" t="inlineStr">
        <is>
          <t>EKF9_Q_ANG</t>
        </is>
      </c>
      <c r="C322" s="26" t="inlineStr">
        <is>
          <t>31</t>
        </is>
      </c>
      <c r="D322" s="26" t="inlineStr">
        <is>
          <t>0</t>
        </is>
      </c>
      <c r="E322" s="27" t="inlineStr">
        <is>
          <t>Q_ANG</t>
        </is>
      </c>
      <c r="F322" s="28" t="inlineStr">
        <is>
          <t>RW</t>
        </is>
      </c>
      <c r="G322" s="29" t="inlineStr">
        <is>
          <t>Angle noise variance Q3.29.</t>
        </is>
      </c>
    </row>
    <row r="323" ht="32" customHeight="1">
      <c r="A323" s="5" t="inlineStr">
        <is>
          <t>0x4014</t>
        </is>
      </c>
      <c r="B323" s="25" t="inlineStr">
        <is>
          <t>EKF9_R_GPS_P</t>
        </is>
      </c>
      <c r="C323" s="26" t="inlineStr">
        <is>
          <t>31</t>
        </is>
      </c>
      <c r="D323" s="26" t="inlineStr">
        <is>
          <t>0</t>
        </is>
      </c>
      <c r="E323" s="27" t="inlineStr">
        <is>
          <t>R_GPS_POS</t>
        </is>
      </c>
      <c r="F323" s="28" t="inlineStr">
        <is>
          <t>RW</t>
        </is>
      </c>
      <c r="G323" s="29" t="inlineStr">
        <is>
          <t>GPS position noise Q10.22.</t>
        </is>
      </c>
    </row>
    <row r="324" ht="32" customHeight="1">
      <c r="A324" s="5" t="inlineStr">
        <is>
          <t>0x4018</t>
        </is>
      </c>
      <c r="B324" s="25" t="inlineStr">
        <is>
          <t>EKF9_R_GPS_V</t>
        </is>
      </c>
      <c r="C324" s="26" t="inlineStr">
        <is>
          <t>31</t>
        </is>
      </c>
      <c r="D324" s="26" t="inlineStr">
        <is>
          <t>0</t>
        </is>
      </c>
      <c r="E324" s="27" t="inlineStr">
        <is>
          <t>R_GPS_VEL</t>
        </is>
      </c>
      <c r="F324" s="28" t="inlineStr">
        <is>
          <t>RW</t>
        </is>
      </c>
      <c r="G324" s="29" t="inlineStr">
        <is>
          <t>GPS velocity noise Q4.28.</t>
        </is>
      </c>
    </row>
    <row r="325" ht="32" customHeight="1">
      <c r="A325" s="5" t="inlineStr">
        <is>
          <t>0x401C</t>
        </is>
      </c>
      <c r="B325" s="25" t="inlineStr">
        <is>
          <t>EKF9_R_BARO</t>
        </is>
      </c>
      <c r="C325" s="26" t="inlineStr">
        <is>
          <t>31</t>
        </is>
      </c>
      <c r="D325" s="26" t="inlineStr">
        <is>
          <t>0</t>
        </is>
      </c>
      <c r="E325" s="27" t="inlineStr">
        <is>
          <t>R_BARO</t>
        </is>
      </c>
      <c r="F325" s="28" t="inlineStr">
        <is>
          <t>RW</t>
        </is>
      </c>
      <c r="G325" s="29" t="inlineStr">
        <is>
          <t>Baro noise Q10.22.</t>
        </is>
      </c>
    </row>
    <row r="326" ht="32" customHeight="1">
      <c r="A326" s="5" t="inlineStr">
        <is>
          <t>0x4020</t>
        </is>
      </c>
      <c r="B326" s="25" t="inlineStr">
        <is>
          <t>EKF9_GPS_GATE</t>
        </is>
      </c>
      <c r="C326" s="26" t="inlineStr">
        <is>
          <t>31</t>
        </is>
      </c>
      <c r="D326" s="26" t="inlineStr">
        <is>
          <t>8</t>
        </is>
      </c>
      <c r="E326" s="27" t="inlineStr">
        <is>
          <t>RESERVED</t>
        </is>
      </c>
      <c r="F326" s="28" t="inlineStr">
        <is>
          <t>RW</t>
        </is>
      </c>
      <c r="G326" s="29" t="inlineStr">
        <is>
          <t>Reserved.</t>
        </is>
      </c>
    </row>
    <row r="327" ht="32" customHeight="1">
      <c r="A327" s="30" t="inlineStr">
        <is>
          <t>0x4020</t>
        </is>
      </c>
      <c r="B327" s="31" t="inlineStr">
        <is>
          <t>EKF9_GPS_GATE</t>
        </is>
      </c>
      <c r="C327" s="32" t="inlineStr">
        <is>
          <t>7</t>
        </is>
      </c>
      <c r="D327" s="32" t="inlineStr">
        <is>
          <t>0</t>
        </is>
      </c>
      <c r="E327" s="33" t="inlineStr">
        <is>
          <t>GATE_SIGMA</t>
        </is>
      </c>
      <c r="F327" s="34" t="inlineStr">
        <is>
          <t>RW</t>
        </is>
      </c>
      <c r="G327" s="35" t="inlineStr">
        <is>
          <t>Reject if |innovation| &gt; GATE_SIGMA × √S. Default 5.</t>
        </is>
      </c>
    </row>
    <row r="328" ht="32" customHeight="1">
      <c r="A328" s="5" t="inlineStr">
        <is>
          <t>0x4024</t>
        </is>
      </c>
      <c r="B328" s="25" t="inlineStr">
        <is>
          <t>PID_RATE_KP</t>
        </is>
      </c>
      <c r="C328" s="26" t="inlineStr">
        <is>
          <t>31</t>
        </is>
      </c>
      <c r="D328" s="26" t="inlineStr">
        <is>
          <t>16</t>
        </is>
      </c>
      <c r="E328" s="27" t="inlineStr">
        <is>
          <t>RESERVED</t>
        </is>
      </c>
      <c r="F328" s="28" t="inlineStr">
        <is>
          <t>RW</t>
        </is>
      </c>
      <c r="G328" s="29" t="inlineStr">
        <is>
          <t>Reserved.</t>
        </is>
      </c>
    </row>
    <row r="329" ht="32" customHeight="1">
      <c r="A329" s="30" t="inlineStr">
        <is>
          <t>0x4024</t>
        </is>
      </c>
      <c r="B329" s="31" t="inlineStr">
        <is>
          <t>PID_RATE_KP</t>
        </is>
      </c>
      <c r="C329" s="32" t="inlineStr">
        <is>
          <t>15</t>
        </is>
      </c>
      <c r="D329" s="32" t="inlineStr">
        <is>
          <t>0</t>
        </is>
      </c>
      <c r="E329" s="33" t="inlineStr">
        <is>
          <t>KP_RATE</t>
        </is>
      </c>
      <c r="F329" s="34" t="inlineStr">
        <is>
          <t>RW</t>
        </is>
      </c>
      <c r="G329" s="35" t="inlineStr">
        <is>
          <t>Rate Kp Q4.12. Default 1.5 = 0x1800.</t>
        </is>
      </c>
    </row>
    <row r="330" ht="32" customHeight="1">
      <c r="A330" s="5" t="inlineStr">
        <is>
          <t>0x4028</t>
        </is>
      </c>
      <c r="B330" s="25" t="inlineStr">
        <is>
          <t>PID_ROLL_KP</t>
        </is>
      </c>
      <c r="C330" s="26" t="inlineStr">
        <is>
          <t>31</t>
        </is>
      </c>
      <c r="D330" s="26" t="inlineStr">
        <is>
          <t>16</t>
        </is>
      </c>
      <c r="E330" s="27" t="inlineStr">
        <is>
          <t>RESERVED</t>
        </is>
      </c>
      <c r="F330" s="28" t="inlineStr">
        <is>
          <t>RW</t>
        </is>
      </c>
      <c r="G330" s="29" t="inlineStr">
        <is>
          <t>Reserved.</t>
        </is>
      </c>
    </row>
    <row r="331" ht="32" customHeight="1">
      <c r="A331" s="30" t="inlineStr">
        <is>
          <t>0x4028</t>
        </is>
      </c>
      <c r="B331" s="31" t="inlineStr">
        <is>
          <t>PID_ROLL_KP</t>
        </is>
      </c>
      <c r="C331" s="32" t="inlineStr">
        <is>
          <t>15</t>
        </is>
      </c>
      <c r="D331" s="32" t="inlineStr">
        <is>
          <t>0</t>
        </is>
      </c>
      <c r="E331" s="33" t="inlineStr">
        <is>
          <t>KP</t>
        </is>
      </c>
      <c r="F331" s="34" t="inlineStr">
        <is>
          <t>RW</t>
        </is>
      </c>
      <c r="G331" s="35" t="inlineStr">
        <is>
          <t>Roll-rate Kp Q4.12.</t>
        </is>
      </c>
    </row>
    <row r="332" ht="32" customHeight="1">
      <c r="A332" s="5" t="inlineStr">
        <is>
          <t>0x402C</t>
        </is>
      </c>
      <c r="B332" s="25" t="inlineStr">
        <is>
          <t>PID_ROLL_KI</t>
        </is>
      </c>
      <c r="C332" s="26" t="inlineStr">
        <is>
          <t>31</t>
        </is>
      </c>
      <c r="D332" s="26" t="inlineStr">
        <is>
          <t>16</t>
        </is>
      </c>
      <c r="E332" s="27" t="inlineStr">
        <is>
          <t>RESERVED</t>
        </is>
      </c>
      <c r="F332" s="28" t="inlineStr">
        <is>
          <t>RW</t>
        </is>
      </c>
      <c r="G332" s="29" t="inlineStr">
        <is>
          <t>Reserved.</t>
        </is>
      </c>
    </row>
    <row r="333" ht="32" customHeight="1">
      <c r="A333" s="30" t="inlineStr">
        <is>
          <t>0x402C</t>
        </is>
      </c>
      <c r="B333" s="31" t="inlineStr">
        <is>
          <t>PID_ROLL_KI</t>
        </is>
      </c>
      <c r="C333" s="32" t="inlineStr">
        <is>
          <t>15</t>
        </is>
      </c>
      <c r="D333" s="32" t="inlineStr">
        <is>
          <t>0</t>
        </is>
      </c>
      <c r="E333" s="33" t="inlineStr">
        <is>
          <t>KI</t>
        </is>
      </c>
      <c r="F333" s="34" t="inlineStr">
        <is>
          <t>RW</t>
        </is>
      </c>
      <c r="G333" s="35" t="inlineStr">
        <is>
          <t>Roll-rate Ki Q4.12.</t>
        </is>
      </c>
    </row>
    <row r="334" ht="32" customHeight="1">
      <c r="A334" s="5" t="inlineStr">
        <is>
          <t>0x4030</t>
        </is>
      </c>
      <c r="B334" s="25" t="inlineStr">
        <is>
          <t>PID_ROLL_KD</t>
        </is>
      </c>
      <c r="C334" s="26" t="inlineStr">
        <is>
          <t>31</t>
        </is>
      </c>
      <c r="D334" s="26" t="inlineStr">
        <is>
          <t>16</t>
        </is>
      </c>
      <c r="E334" s="27" t="inlineStr">
        <is>
          <t>RESERVED</t>
        </is>
      </c>
      <c r="F334" s="28" t="inlineStr">
        <is>
          <t>RW</t>
        </is>
      </c>
      <c r="G334" s="29" t="inlineStr">
        <is>
          <t>Reserved.</t>
        </is>
      </c>
    </row>
    <row r="335" ht="32" customHeight="1">
      <c r="A335" s="30" t="inlineStr">
        <is>
          <t>0x4030</t>
        </is>
      </c>
      <c r="B335" s="31" t="inlineStr">
        <is>
          <t>PID_ROLL_KD</t>
        </is>
      </c>
      <c r="C335" s="32" t="inlineStr">
        <is>
          <t>15</t>
        </is>
      </c>
      <c r="D335" s="32" t="inlineStr">
        <is>
          <t>0</t>
        </is>
      </c>
      <c r="E335" s="33" t="inlineStr">
        <is>
          <t>KD</t>
        </is>
      </c>
      <c r="F335" s="34" t="inlineStr">
        <is>
          <t>RW</t>
        </is>
      </c>
      <c r="G335" s="35" t="inlineStr">
        <is>
          <t>Roll-rate Kd Q4.12.</t>
        </is>
      </c>
    </row>
    <row r="336" ht="32" customHeight="1">
      <c r="A336" s="5" t="inlineStr">
        <is>
          <t>0x4034</t>
        </is>
      </c>
      <c r="B336" s="25" t="inlineStr">
        <is>
          <t>PID_PITCH_KP</t>
        </is>
      </c>
      <c r="C336" s="26" t="inlineStr">
        <is>
          <t>31</t>
        </is>
      </c>
      <c r="D336" s="26" t="inlineStr">
        <is>
          <t>16</t>
        </is>
      </c>
      <c r="E336" s="27" t="inlineStr">
        <is>
          <t>RESERVED</t>
        </is>
      </c>
      <c r="F336" s="28" t="inlineStr">
        <is>
          <t>RW</t>
        </is>
      </c>
      <c r="G336" s="29" t="inlineStr">
        <is>
          <t>Reserved.</t>
        </is>
      </c>
    </row>
    <row r="337" ht="32" customHeight="1">
      <c r="A337" s="30" t="inlineStr">
        <is>
          <t>0x4034</t>
        </is>
      </c>
      <c r="B337" s="31" t="inlineStr">
        <is>
          <t>PID_PITCH_KP</t>
        </is>
      </c>
      <c r="C337" s="32" t="inlineStr">
        <is>
          <t>15</t>
        </is>
      </c>
      <c r="D337" s="32" t="inlineStr">
        <is>
          <t>0</t>
        </is>
      </c>
      <c r="E337" s="33" t="inlineStr">
        <is>
          <t>KP</t>
        </is>
      </c>
      <c r="F337" s="34" t="inlineStr">
        <is>
          <t>RW</t>
        </is>
      </c>
      <c r="G337" s="35" t="inlineStr">
        <is>
          <t>Pitch-rate Kp Q4.12.</t>
        </is>
      </c>
    </row>
    <row r="338" ht="32" customHeight="1">
      <c r="A338" s="5" t="inlineStr">
        <is>
          <t>0x4038</t>
        </is>
      </c>
      <c r="B338" s="25" t="inlineStr">
        <is>
          <t>PID_PITCH_KI</t>
        </is>
      </c>
      <c r="C338" s="26" t="inlineStr">
        <is>
          <t>31</t>
        </is>
      </c>
      <c r="D338" s="26" t="inlineStr">
        <is>
          <t>16</t>
        </is>
      </c>
      <c r="E338" s="27" t="inlineStr">
        <is>
          <t>RESERVED</t>
        </is>
      </c>
      <c r="F338" s="28" t="inlineStr">
        <is>
          <t>RW</t>
        </is>
      </c>
      <c r="G338" s="29" t="inlineStr">
        <is>
          <t>Reserved.</t>
        </is>
      </c>
    </row>
    <row r="339" ht="32" customHeight="1">
      <c r="A339" s="30" t="inlineStr">
        <is>
          <t>0x4038</t>
        </is>
      </c>
      <c r="B339" s="31" t="inlineStr">
        <is>
          <t>PID_PITCH_KI</t>
        </is>
      </c>
      <c r="C339" s="32" t="inlineStr">
        <is>
          <t>15</t>
        </is>
      </c>
      <c r="D339" s="32" t="inlineStr">
        <is>
          <t>0</t>
        </is>
      </c>
      <c r="E339" s="33" t="inlineStr">
        <is>
          <t>KI</t>
        </is>
      </c>
      <c r="F339" s="34" t="inlineStr">
        <is>
          <t>RW</t>
        </is>
      </c>
      <c r="G339" s="35" t="inlineStr">
        <is>
          <t>Pitch-rate Ki Q4.12.</t>
        </is>
      </c>
    </row>
    <row r="340" ht="32" customHeight="1">
      <c r="A340" s="5" t="inlineStr">
        <is>
          <t>0x403C</t>
        </is>
      </c>
      <c r="B340" s="25" t="inlineStr">
        <is>
          <t>PID_PITCH_KD</t>
        </is>
      </c>
      <c r="C340" s="26" t="inlineStr">
        <is>
          <t>31</t>
        </is>
      </c>
      <c r="D340" s="26" t="inlineStr">
        <is>
          <t>16</t>
        </is>
      </c>
      <c r="E340" s="27" t="inlineStr">
        <is>
          <t>RESERVED</t>
        </is>
      </c>
      <c r="F340" s="28" t="inlineStr">
        <is>
          <t>RW</t>
        </is>
      </c>
      <c r="G340" s="29" t="inlineStr">
        <is>
          <t>Reserved.</t>
        </is>
      </c>
    </row>
    <row r="341" ht="32" customHeight="1">
      <c r="A341" s="30" t="inlineStr">
        <is>
          <t>0x403C</t>
        </is>
      </c>
      <c r="B341" s="31" t="inlineStr">
        <is>
          <t>PID_PITCH_KD</t>
        </is>
      </c>
      <c r="C341" s="32" t="inlineStr">
        <is>
          <t>15</t>
        </is>
      </c>
      <c r="D341" s="32" t="inlineStr">
        <is>
          <t>0</t>
        </is>
      </c>
      <c r="E341" s="33" t="inlineStr">
        <is>
          <t>KD</t>
        </is>
      </c>
      <c r="F341" s="34" t="inlineStr">
        <is>
          <t>RW</t>
        </is>
      </c>
      <c r="G341" s="35" t="inlineStr">
        <is>
          <t>Pitch-rate Kd Q4.12.</t>
        </is>
      </c>
    </row>
    <row r="342" ht="32" customHeight="1">
      <c r="A342" s="5" t="inlineStr">
        <is>
          <t>0x4040</t>
        </is>
      </c>
      <c r="B342" s="25" t="inlineStr">
        <is>
          <t>PID_YAW_KP</t>
        </is>
      </c>
      <c r="C342" s="26" t="inlineStr">
        <is>
          <t>31</t>
        </is>
      </c>
      <c r="D342" s="26" t="inlineStr">
        <is>
          <t>16</t>
        </is>
      </c>
      <c r="E342" s="27" t="inlineStr">
        <is>
          <t>RESERVED</t>
        </is>
      </c>
      <c r="F342" s="28" t="inlineStr">
        <is>
          <t>RW</t>
        </is>
      </c>
      <c r="G342" s="29" t="inlineStr">
        <is>
          <t>Reserved.</t>
        </is>
      </c>
    </row>
    <row r="343" ht="32" customHeight="1">
      <c r="A343" s="30" t="inlineStr">
        <is>
          <t>0x4040</t>
        </is>
      </c>
      <c r="B343" s="31" t="inlineStr">
        <is>
          <t>PID_YAW_KP</t>
        </is>
      </c>
      <c r="C343" s="32" t="inlineStr">
        <is>
          <t>15</t>
        </is>
      </c>
      <c r="D343" s="32" t="inlineStr">
        <is>
          <t>0</t>
        </is>
      </c>
      <c r="E343" s="33" t="inlineStr">
        <is>
          <t>KP</t>
        </is>
      </c>
      <c r="F343" s="34" t="inlineStr">
        <is>
          <t>RW</t>
        </is>
      </c>
      <c r="G343" s="35" t="inlineStr">
        <is>
          <t>Yaw-rate Kp Q4.12.</t>
        </is>
      </c>
    </row>
    <row r="344" ht="32" customHeight="1">
      <c r="A344" s="5" t="inlineStr">
        <is>
          <t>0x4044</t>
        </is>
      </c>
      <c r="B344" s="25" t="inlineStr">
        <is>
          <t>PID_YAW_KI</t>
        </is>
      </c>
      <c r="C344" s="26" t="inlineStr">
        <is>
          <t>31</t>
        </is>
      </c>
      <c r="D344" s="26" t="inlineStr">
        <is>
          <t>16</t>
        </is>
      </c>
      <c r="E344" s="27" t="inlineStr">
        <is>
          <t>RESERVED</t>
        </is>
      </c>
      <c r="F344" s="28" t="inlineStr">
        <is>
          <t>RW</t>
        </is>
      </c>
      <c r="G344" s="29" t="inlineStr">
        <is>
          <t>Reserved.</t>
        </is>
      </c>
    </row>
    <row r="345" ht="32" customHeight="1">
      <c r="A345" s="30" t="inlineStr">
        <is>
          <t>0x4044</t>
        </is>
      </c>
      <c r="B345" s="31" t="inlineStr">
        <is>
          <t>PID_YAW_KI</t>
        </is>
      </c>
      <c r="C345" s="32" t="inlineStr">
        <is>
          <t>15</t>
        </is>
      </c>
      <c r="D345" s="32" t="inlineStr">
        <is>
          <t>0</t>
        </is>
      </c>
      <c r="E345" s="33" t="inlineStr">
        <is>
          <t>KI</t>
        </is>
      </c>
      <c r="F345" s="34" t="inlineStr">
        <is>
          <t>RW</t>
        </is>
      </c>
      <c r="G345" s="35" t="inlineStr">
        <is>
          <t>Yaw-rate Ki Q4.12.</t>
        </is>
      </c>
    </row>
    <row r="346" ht="32" customHeight="1">
      <c r="A346" s="5" t="inlineStr">
        <is>
          <t>0x4048</t>
        </is>
      </c>
      <c r="B346" s="25" t="inlineStr">
        <is>
          <t>PID_YAW_KD</t>
        </is>
      </c>
      <c r="C346" s="26" t="inlineStr">
        <is>
          <t>31</t>
        </is>
      </c>
      <c r="D346" s="26" t="inlineStr">
        <is>
          <t>16</t>
        </is>
      </c>
      <c r="E346" s="27" t="inlineStr">
        <is>
          <t>RESERVED</t>
        </is>
      </c>
      <c r="F346" s="28" t="inlineStr">
        <is>
          <t>RW</t>
        </is>
      </c>
      <c r="G346" s="29" t="inlineStr">
        <is>
          <t>Reserved.</t>
        </is>
      </c>
    </row>
    <row r="347" ht="32" customHeight="1">
      <c r="A347" s="30" t="inlineStr">
        <is>
          <t>0x4048</t>
        </is>
      </c>
      <c r="B347" s="31" t="inlineStr">
        <is>
          <t>PID_YAW_KD</t>
        </is>
      </c>
      <c r="C347" s="32" t="inlineStr">
        <is>
          <t>15</t>
        </is>
      </c>
      <c r="D347" s="32" t="inlineStr">
        <is>
          <t>0</t>
        </is>
      </c>
      <c r="E347" s="33" t="inlineStr">
        <is>
          <t>KD</t>
        </is>
      </c>
      <c r="F347" s="34" t="inlineStr">
        <is>
          <t>RW</t>
        </is>
      </c>
      <c r="G347" s="35" t="inlineStr">
        <is>
          <t>Yaw-rate Kd Q4.12.</t>
        </is>
      </c>
    </row>
    <row r="348" ht="32" customHeight="1">
      <c r="A348" s="5" t="inlineStr">
        <is>
          <t>0x404C</t>
        </is>
      </c>
      <c r="B348" s="25" t="inlineStr">
        <is>
          <t>PID_ALT_KP</t>
        </is>
      </c>
      <c r="C348" s="26" t="inlineStr">
        <is>
          <t>31</t>
        </is>
      </c>
      <c r="D348" s="26" t="inlineStr">
        <is>
          <t>16</t>
        </is>
      </c>
      <c r="E348" s="27" t="inlineStr">
        <is>
          <t>RESERVED</t>
        </is>
      </c>
      <c r="F348" s="28" t="inlineStr">
        <is>
          <t>RW</t>
        </is>
      </c>
      <c r="G348" s="29" t="inlineStr">
        <is>
          <t>Reserved.</t>
        </is>
      </c>
    </row>
    <row r="349" ht="32" customHeight="1">
      <c r="A349" s="30" t="inlineStr">
        <is>
          <t>0x404C</t>
        </is>
      </c>
      <c r="B349" s="31" t="inlineStr">
        <is>
          <t>PID_ALT_KP</t>
        </is>
      </c>
      <c r="C349" s="32" t="inlineStr">
        <is>
          <t>15</t>
        </is>
      </c>
      <c r="D349" s="32" t="inlineStr">
        <is>
          <t>0</t>
        </is>
      </c>
      <c r="E349" s="33" t="inlineStr">
        <is>
          <t>KP</t>
        </is>
      </c>
      <c r="F349" s="34" t="inlineStr">
        <is>
          <t>RW</t>
        </is>
      </c>
      <c r="G349" s="35" t="inlineStr">
        <is>
          <t>Alt Kp Q4.12.</t>
        </is>
      </c>
    </row>
    <row r="350" ht="32" customHeight="1">
      <c r="A350" s="5" t="inlineStr">
        <is>
          <t>0x4050</t>
        </is>
      </c>
      <c r="B350" s="25" t="inlineStr">
        <is>
          <t>PID_ALT_KI</t>
        </is>
      </c>
      <c r="C350" s="26" t="inlineStr">
        <is>
          <t>31</t>
        </is>
      </c>
      <c r="D350" s="26" t="inlineStr">
        <is>
          <t>16</t>
        </is>
      </c>
      <c r="E350" s="27" t="inlineStr">
        <is>
          <t>RESERVED</t>
        </is>
      </c>
      <c r="F350" s="28" t="inlineStr">
        <is>
          <t>RW</t>
        </is>
      </c>
      <c r="G350" s="29" t="inlineStr">
        <is>
          <t>Reserved.</t>
        </is>
      </c>
    </row>
    <row r="351" ht="32" customHeight="1">
      <c r="A351" s="30" t="inlineStr">
        <is>
          <t>0x4050</t>
        </is>
      </c>
      <c r="B351" s="31" t="inlineStr">
        <is>
          <t>PID_ALT_KI</t>
        </is>
      </c>
      <c r="C351" s="32" t="inlineStr">
        <is>
          <t>15</t>
        </is>
      </c>
      <c r="D351" s="32" t="inlineStr">
        <is>
          <t>0</t>
        </is>
      </c>
      <c r="E351" s="33" t="inlineStr">
        <is>
          <t>KI</t>
        </is>
      </c>
      <c r="F351" s="34" t="inlineStr">
        <is>
          <t>RW</t>
        </is>
      </c>
      <c r="G351" s="35" t="inlineStr">
        <is>
          <t>Alt Ki Q4.12.</t>
        </is>
      </c>
    </row>
    <row r="352" ht="32" customHeight="1">
      <c r="A352" s="5" t="inlineStr">
        <is>
          <t>0x4054</t>
        </is>
      </c>
      <c r="B352" s="25" t="inlineStr">
        <is>
          <t>PID_ALT_KD</t>
        </is>
      </c>
      <c r="C352" s="26" t="inlineStr">
        <is>
          <t>31</t>
        </is>
      </c>
      <c r="D352" s="26" t="inlineStr">
        <is>
          <t>16</t>
        </is>
      </c>
      <c r="E352" s="27" t="inlineStr">
        <is>
          <t>RESERVED</t>
        </is>
      </c>
      <c r="F352" s="28" t="inlineStr">
        <is>
          <t>RW</t>
        </is>
      </c>
      <c r="G352" s="29" t="inlineStr">
        <is>
          <t>Reserved.</t>
        </is>
      </c>
    </row>
    <row r="353" ht="32" customHeight="1">
      <c r="A353" s="30" t="inlineStr">
        <is>
          <t>0x4054</t>
        </is>
      </c>
      <c r="B353" s="31" t="inlineStr">
        <is>
          <t>PID_ALT_KD</t>
        </is>
      </c>
      <c r="C353" s="32" t="inlineStr">
        <is>
          <t>15</t>
        </is>
      </c>
      <c r="D353" s="32" t="inlineStr">
        <is>
          <t>0</t>
        </is>
      </c>
      <c r="E353" s="33" t="inlineStr">
        <is>
          <t>KD</t>
        </is>
      </c>
      <c r="F353" s="34" t="inlineStr">
        <is>
          <t>RW</t>
        </is>
      </c>
      <c r="G353" s="35" t="inlineStr">
        <is>
          <t>Alt Kd Q4.12.</t>
        </is>
      </c>
    </row>
    <row r="354" ht="32" customHeight="1">
      <c r="A354" s="5" t="inlineStr">
        <is>
          <t>0x4058</t>
        </is>
      </c>
      <c r="B354" s="25" t="inlineStr">
        <is>
          <t>PID_VEL_KP</t>
        </is>
      </c>
      <c r="C354" s="26" t="inlineStr">
        <is>
          <t>31</t>
        </is>
      </c>
      <c r="D354" s="26" t="inlineStr">
        <is>
          <t>16</t>
        </is>
      </c>
      <c r="E354" s="27" t="inlineStr">
        <is>
          <t>RESERVED</t>
        </is>
      </c>
      <c r="F354" s="28" t="inlineStr">
        <is>
          <t>RW</t>
        </is>
      </c>
      <c r="G354" s="29" t="inlineStr">
        <is>
          <t>Reserved.</t>
        </is>
      </c>
    </row>
    <row r="355" ht="32" customHeight="1">
      <c r="A355" s="30" t="inlineStr">
        <is>
          <t>0x4058</t>
        </is>
      </c>
      <c r="B355" s="31" t="inlineStr">
        <is>
          <t>PID_VEL_KP</t>
        </is>
      </c>
      <c r="C355" s="32" t="inlineStr">
        <is>
          <t>15</t>
        </is>
      </c>
      <c r="D355" s="32" t="inlineStr">
        <is>
          <t>0</t>
        </is>
      </c>
      <c r="E355" s="33" t="inlineStr">
        <is>
          <t>KP</t>
        </is>
      </c>
      <c r="F355" s="34" t="inlineStr">
        <is>
          <t>RW</t>
        </is>
      </c>
      <c r="G355" s="35" t="inlineStr">
        <is>
          <t>Vel Kp Q4.12.</t>
        </is>
      </c>
    </row>
    <row r="356" ht="32" customHeight="1">
      <c r="A356" s="5" t="inlineStr">
        <is>
          <t>0x405C</t>
        </is>
      </c>
      <c r="B356" s="25" t="inlineStr">
        <is>
          <t>PID_VEL_KI</t>
        </is>
      </c>
      <c r="C356" s="26" t="inlineStr">
        <is>
          <t>31</t>
        </is>
      </c>
      <c r="D356" s="26" t="inlineStr">
        <is>
          <t>16</t>
        </is>
      </c>
      <c r="E356" s="27" t="inlineStr">
        <is>
          <t>RESERVED</t>
        </is>
      </c>
      <c r="F356" s="28" t="inlineStr">
        <is>
          <t>RW</t>
        </is>
      </c>
      <c r="G356" s="29" t="inlineStr">
        <is>
          <t>Reserved.</t>
        </is>
      </c>
    </row>
    <row r="357" ht="32" customHeight="1">
      <c r="A357" s="30" t="inlineStr">
        <is>
          <t>0x405C</t>
        </is>
      </c>
      <c r="B357" s="31" t="inlineStr">
        <is>
          <t>PID_VEL_KI</t>
        </is>
      </c>
      <c r="C357" s="32" t="inlineStr">
        <is>
          <t>15</t>
        </is>
      </c>
      <c r="D357" s="32" t="inlineStr">
        <is>
          <t>0</t>
        </is>
      </c>
      <c r="E357" s="33" t="inlineStr">
        <is>
          <t>KI</t>
        </is>
      </c>
      <c r="F357" s="34" t="inlineStr">
        <is>
          <t>RW</t>
        </is>
      </c>
      <c r="G357" s="35" t="inlineStr">
        <is>
          <t>Vel Ki Q4.12.</t>
        </is>
      </c>
    </row>
    <row r="358" ht="32" customHeight="1">
      <c r="A358" s="5" t="inlineStr">
        <is>
          <t>0x4060</t>
        </is>
      </c>
      <c r="B358" s="25" t="inlineStr">
        <is>
          <t>NAV_FENCE_R</t>
        </is>
      </c>
      <c r="C358" s="26" t="inlineStr">
        <is>
          <t>31</t>
        </is>
      </c>
      <c r="D358" s="26" t="inlineStr">
        <is>
          <t>16</t>
        </is>
      </c>
      <c r="E358" s="27" t="inlineStr">
        <is>
          <t>RESERVED</t>
        </is>
      </c>
      <c r="F358" s="28" t="inlineStr">
        <is>
          <t>RW</t>
        </is>
      </c>
      <c r="G358" s="29" t="inlineStr">
        <is>
          <t>Reserved.</t>
        </is>
      </c>
    </row>
    <row r="359" ht="32" customHeight="1">
      <c r="A359" s="30" t="inlineStr">
        <is>
          <t>0x4060</t>
        </is>
      </c>
      <c r="B359" s="31" t="inlineStr">
        <is>
          <t>NAV_FENCE_R</t>
        </is>
      </c>
      <c r="C359" s="32" t="inlineStr">
        <is>
          <t>15</t>
        </is>
      </c>
      <c r="D359" s="32" t="inlineStr">
        <is>
          <t>0</t>
        </is>
      </c>
      <c r="E359" s="33" t="inlineStr">
        <is>
          <t>RADIUS_M</t>
        </is>
      </c>
      <c r="F359" s="34" t="inlineStr">
        <is>
          <t>RW</t>
        </is>
      </c>
      <c r="G359" s="35" t="inlineStr">
        <is>
          <t>Fence radius metres. Default 500.</t>
        </is>
      </c>
    </row>
    <row r="360" ht="32" customHeight="1">
      <c r="A360" s="5" t="inlineStr">
        <is>
          <t>0x4064</t>
        </is>
      </c>
      <c r="B360" s="25" t="inlineStr">
        <is>
          <t>NAV_FENCE_ALT</t>
        </is>
      </c>
      <c r="C360" s="26" t="inlineStr">
        <is>
          <t>31</t>
        </is>
      </c>
      <c r="D360" s="26" t="inlineStr">
        <is>
          <t>16</t>
        </is>
      </c>
      <c r="E360" s="27" t="inlineStr">
        <is>
          <t>RESERVED</t>
        </is>
      </c>
      <c r="F360" s="28" t="inlineStr">
        <is>
          <t>RW</t>
        </is>
      </c>
      <c r="G360" s="29" t="inlineStr">
        <is>
          <t>Reserved.</t>
        </is>
      </c>
    </row>
    <row r="361" ht="32" customHeight="1">
      <c r="A361" s="30" t="inlineStr">
        <is>
          <t>0x4064</t>
        </is>
      </c>
      <c r="B361" s="31" t="inlineStr">
        <is>
          <t>NAV_FENCE_ALT</t>
        </is>
      </c>
      <c r="C361" s="32" t="inlineStr">
        <is>
          <t>15</t>
        </is>
      </c>
      <c r="D361" s="32" t="inlineStr">
        <is>
          <t>0</t>
        </is>
      </c>
      <c r="E361" s="33" t="inlineStr">
        <is>
          <t>ALT_M</t>
        </is>
      </c>
      <c r="F361" s="34" t="inlineStr">
        <is>
          <t>RW</t>
        </is>
      </c>
      <c r="G361" s="35" t="inlineStr">
        <is>
          <t>Max altitude metres. Default 200.</t>
        </is>
      </c>
    </row>
    <row r="362" ht="32" customHeight="1">
      <c r="A362" s="5" t="inlineStr">
        <is>
          <t>0x4068</t>
        </is>
      </c>
      <c r="B362" s="25" t="inlineStr">
        <is>
          <t>NAV_TKOFF_ALT</t>
        </is>
      </c>
      <c r="C362" s="26" t="inlineStr">
        <is>
          <t>31</t>
        </is>
      </c>
      <c r="D362" s="26" t="inlineStr">
        <is>
          <t>8</t>
        </is>
      </c>
      <c r="E362" s="27" t="inlineStr">
        <is>
          <t>RESERVED</t>
        </is>
      </c>
      <c r="F362" s="28" t="inlineStr">
        <is>
          <t>RW</t>
        </is>
      </c>
      <c r="G362" s="29" t="inlineStr">
        <is>
          <t>Reserved.</t>
        </is>
      </c>
    </row>
    <row r="363" ht="32" customHeight="1">
      <c r="A363" s="30" t="inlineStr">
        <is>
          <t>0x4068</t>
        </is>
      </c>
      <c r="B363" s="31" t="inlineStr">
        <is>
          <t>NAV_TKOFF_ALT</t>
        </is>
      </c>
      <c r="C363" s="32" t="inlineStr">
        <is>
          <t>7</t>
        </is>
      </c>
      <c r="D363" s="32" t="inlineStr">
        <is>
          <t>0</t>
        </is>
      </c>
      <c r="E363" s="33" t="inlineStr">
        <is>
          <t>ALT_M</t>
        </is>
      </c>
      <c r="F363" s="34" t="inlineStr">
        <is>
          <t>RW</t>
        </is>
      </c>
      <c r="G363" s="35" t="inlineStr">
        <is>
          <t>Takeoff alt metres. Default 10.</t>
        </is>
      </c>
    </row>
    <row r="364" ht="32" customHeight="1">
      <c r="A364" s="5" t="inlineStr">
        <is>
          <t>0x406C</t>
        </is>
      </c>
      <c r="B364" s="25" t="inlineStr">
        <is>
          <t>NAV_WP_RADIUS</t>
        </is>
      </c>
      <c r="C364" s="26" t="inlineStr">
        <is>
          <t>31</t>
        </is>
      </c>
      <c r="D364" s="26" t="inlineStr">
        <is>
          <t>8</t>
        </is>
      </c>
      <c r="E364" s="27" t="inlineStr">
        <is>
          <t>RESERVED</t>
        </is>
      </c>
      <c r="F364" s="28" t="inlineStr">
        <is>
          <t>RW</t>
        </is>
      </c>
      <c r="G364" s="29" t="inlineStr">
        <is>
          <t>Reserved.</t>
        </is>
      </c>
    </row>
    <row r="365" ht="32" customHeight="1">
      <c r="A365" s="30" t="inlineStr">
        <is>
          <t>0x406C</t>
        </is>
      </c>
      <c r="B365" s="31" t="inlineStr">
        <is>
          <t>NAV_WP_RADIUS</t>
        </is>
      </c>
      <c r="C365" s="32" t="inlineStr">
        <is>
          <t>7</t>
        </is>
      </c>
      <c r="D365" s="32" t="inlineStr">
        <is>
          <t>0</t>
        </is>
      </c>
      <c r="E365" s="33" t="inlineStr">
        <is>
          <t>RADIUS_M</t>
        </is>
      </c>
      <c r="F365" s="34" t="inlineStr">
        <is>
          <t>RW</t>
        </is>
      </c>
      <c r="G365" s="35" t="inlineStr">
        <is>
          <t>WP capture radius. Default 2 m.</t>
        </is>
      </c>
    </row>
    <row r="366" ht="32" customHeight="1">
      <c r="A366" s="5" t="inlineStr">
        <is>
          <t>0x4070</t>
        </is>
      </c>
      <c r="B366" s="25" t="inlineStr">
        <is>
          <t>NAV_RTL_ALT</t>
        </is>
      </c>
      <c r="C366" s="26" t="inlineStr">
        <is>
          <t>31</t>
        </is>
      </c>
      <c r="D366" s="26" t="inlineStr">
        <is>
          <t>8</t>
        </is>
      </c>
      <c r="E366" s="27" t="inlineStr">
        <is>
          <t>RESERVED</t>
        </is>
      </c>
      <c r="F366" s="28" t="inlineStr">
        <is>
          <t>RW</t>
        </is>
      </c>
      <c r="G366" s="29" t="inlineStr">
        <is>
          <t>Reserved.</t>
        </is>
      </c>
    </row>
    <row r="367" ht="32" customHeight="1">
      <c r="A367" s="30" t="inlineStr">
        <is>
          <t>0x4070</t>
        </is>
      </c>
      <c r="B367" s="31" t="inlineStr">
        <is>
          <t>NAV_RTL_ALT</t>
        </is>
      </c>
      <c r="C367" s="32" t="inlineStr">
        <is>
          <t>7</t>
        </is>
      </c>
      <c r="D367" s="32" t="inlineStr">
        <is>
          <t>0</t>
        </is>
      </c>
      <c r="E367" s="33" t="inlineStr">
        <is>
          <t>RTL_ALT_M</t>
        </is>
      </c>
      <c r="F367" s="34" t="inlineStr">
        <is>
          <t>RW</t>
        </is>
      </c>
      <c r="G367" s="35" t="inlineStr">
        <is>
          <t>RTL alt metres. Default 50.</t>
        </is>
      </c>
    </row>
    <row r="368" ht="32" customHeight="1">
      <c r="A368" s="5" t="inlineStr">
        <is>
          <t>0x4074</t>
        </is>
      </c>
      <c r="B368" s="25" t="inlineStr">
        <is>
          <t>MAV_SYSID</t>
        </is>
      </c>
      <c r="C368" s="26" t="inlineStr">
        <is>
          <t>31</t>
        </is>
      </c>
      <c r="D368" s="26" t="inlineStr">
        <is>
          <t>16</t>
        </is>
      </c>
      <c r="E368" s="27" t="inlineStr">
        <is>
          <t>RESERVED</t>
        </is>
      </c>
      <c r="F368" s="28" t="inlineStr">
        <is>
          <t>RW</t>
        </is>
      </c>
      <c r="G368" s="29" t="inlineStr">
        <is>
          <t>Reserved.</t>
        </is>
      </c>
    </row>
    <row r="369" ht="32" customHeight="1">
      <c r="A369" s="30" t="inlineStr">
        <is>
          <t>0x4074</t>
        </is>
      </c>
      <c r="B369" s="31" t="inlineStr">
        <is>
          <t>MAV_SYSID</t>
        </is>
      </c>
      <c r="C369" s="32" t="inlineStr">
        <is>
          <t>15</t>
        </is>
      </c>
      <c r="D369" s="32" t="inlineStr">
        <is>
          <t>8</t>
        </is>
      </c>
      <c r="E369" s="33" t="inlineStr">
        <is>
          <t>SYSID</t>
        </is>
      </c>
      <c r="F369" s="34" t="inlineStr">
        <is>
          <t>RW</t>
        </is>
      </c>
      <c r="G369" s="35" t="inlineStr">
        <is>
          <t>MAVLink System ID. Must be unique per vehicle.</t>
        </is>
      </c>
    </row>
    <row r="370" ht="32" customHeight="1">
      <c r="A370" s="24" t="inlineStr">
        <is>
          <t>0x4074</t>
        </is>
      </c>
      <c r="B370" s="36" t="inlineStr">
        <is>
          <t>MAV_SYSID</t>
        </is>
      </c>
      <c r="C370" s="37" t="inlineStr">
        <is>
          <t>7</t>
        </is>
      </c>
      <c r="D370" s="37" t="inlineStr">
        <is>
          <t>0</t>
        </is>
      </c>
      <c r="E370" s="38" t="inlineStr">
        <is>
          <t>COMPID</t>
        </is>
      </c>
      <c r="F370" s="39" t="inlineStr">
        <is>
          <t>RW</t>
        </is>
      </c>
      <c r="G370" s="40" t="inlineStr">
        <is>
          <t>MAVLink Component ID. Default 1 (autopilot).</t>
        </is>
      </c>
    </row>
    <row r="371" ht="32" customHeight="1">
      <c r="A371" s="5" t="inlineStr">
        <is>
          <t>0x4078</t>
        </is>
      </c>
      <c r="B371" s="25" t="inlineStr">
        <is>
          <t>MOTOR_PWM_MIN</t>
        </is>
      </c>
      <c r="C371" s="26" t="inlineStr">
        <is>
          <t>31</t>
        </is>
      </c>
      <c r="D371" s="26" t="inlineStr">
        <is>
          <t>16</t>
        </is>
      </c>
      <c r="E371" s="27" t="inlineStr">
        <is>
          <t>RESERVED</t>
        </is>
      </c>
      <c r="F371" s="28" t="inlineStr">
        <is>
          <t>RW</t>
        </is>
      </c>
      <c r="G371" s="29" t="inlineStr">
        <is>
          <t>Reserved.</t>
        </is>
      </c>
    </row>
    <row r="372" ht="32" customHeight="1">
      <c r="A372" s="30" t="inlineStr">
        <is>
          <t>0x4078</t>
        </is>
      </c>
      <c r="B372" s="31" t="inlineStr">
        <is>
          <t>MOTOR_PWM_MIN</t>
        </is>
      </c>
      <c r="C372" s="32" t="inlineStr">
        <is>
          <t>15</t>
        </is>
      </c>
      <c r="D372" s="32" t="inlineStr">
        <is>
          <t>0</t>
        </is>
      </c>
      <c r="E372" s="33" t="inlineStr">
        <is>
          <t>PWM_MIN_US</t>
        </is>
      </c>
      <c r="F372" s="34" t="inlineStr">
        <is>
          <t>RW</t>
        </is>
      </c>
      <c r="G372" s="35" t="inlineStr">
        <is>
          <t>Min pulse µs. Default 1000.</t>
        </is>
      </c>
    </row>
    <row r="373" ht="32" customHeight="1">
      <c r="A373" s="5" t="inlineStr">
        <is>
          <t>0x407C</t>
        </is>
      </c>
      <c r="B373" s="25" t="inlineStr">
        <is>
          <t>MOTOR_PWM_MAX</t>
        </is>
      </c>
      <c r="C373" s="26" t="inlineStr">
        <is>
          <t>31</t>
        </is>
      </c>
      <c r="D373" s="26" t="inlineStr">
        <is>
          <t>16</t>
        </is>
      </c>
      <c r="E373" s="27" t="inlineStr">
        <is>
          <t>RESERVED</t>
        </is>
      </c>
      <c r="F373" s="28" t="inlineStr">
        <is>
          <t>RW</t>
        </is>
      </c>
      <c r="G373" s="29" t="inlineStr">
        <is>
          <t>Reserved.</t>
        </is>
      </c>
    </row>
    <row r="374" ht="32" customHeight="1">
      <c r="A374" s="30" t="inlineStr">
        <is>
          <t>0x407C</t>
        </is>
      </c>
      <c r="B374" s="31" t="inlineStr">
        <is>
          <t>MOTOR_PWM_MAX</t>
        </is>
      </c>
      <c r="C374" s="32" t="inlineStr">
        <is>
          <t>15</t>
        </is>
      </c>
      <c r="D374" s="32" t="inlineStr">
        <is>
          <t>0</t>
        </is>
      </c>
      <c r="E374" s="33" t="inlineStr">
        <is>
          <t>PWM_MAX_US</t>
        </is>
      </c>
      <c r="F374" s="34" t="inlineStr">
        <is>
          <t>RW</t>
        </is>
      </c>
      <c r="G374" s="35" t="inlineStr">
        <is>
          <t>Max pulse µs. Default 2000.</t>
        </is>
      </c>
    </row>
    <row r="375" ht="32" customHeight="1">
      <c r="A375" s="5" t="inlineStr">
        <is>
          <t>0x4080</t>
        </is>
      </c>
      <c r="B375" s="25" t="inlineStr">
        <is>
          <t>MOTOR_FREQ</t>
        </is>
      </c>
      <c r="C375" s="26" t="inlineStr">
        <is>
          <t>31</t>
        </is>
      </c>
      <c r="D375" s="26" t="inlineStr">
        <is>
          <t>16</t>
        </is>
      </c>
      <c r="E375" s="27" t="inlineStr">
        <is>
          <t>RESERVED</t>
        </is>
      </c>
      <c r="F375" s="28" t="inlineStr">
        <is>
          <t>RW</t>
        </is>
      </c>
      <c r="G375" s="29" t="inlineStr">
        <is>
          <t>Reserved.</t>
        </is>
      </c>
    </row>
    <row r="376" ht="32" customHeight="1">
      <c r="A376" s="30" t="inlineStr">
        <is>
          <t>0x4080</t>
        </is>
      </c>
      <c r="B376" s="31" t="inlineStr">
        <is>
          <t>MOTOR_FREQ</t>
        </is>
      </c>
      <c r="C376" s="32" t="inlineStr">
        <is>
          <t>15</t>
        </is>
      </c>
      <c r="D376" s="32" t="inlineStr">
        <is>
          <t>0</t>
        </is>
      </c>
      <c r="E376" s="33" t="inlineStr">
        <is>
          <t>FREQ_HZ</t>
        </is>
      </c>
      <c r="F376" s="34" t="inlineStr">
        <is>
          <t>RW</t>
        </is>
      </c>
      <c r="G376" s="35" t="inlineStr">
        <is>
          <t>PWM freq Hz. Default 400.</t>
        </is>
      </c>
    </row>
    <row r="377" ht="32" customHeight="1">
      <c r="A377" s="5" t="inlineStr">
        <is>
          <t>0x4084</t>
        </is>
      </c>
      <c r="B377" s="25" t="inlineStr">
        <is>
          <t>DBG_GPS_CNT</t>
        </is>
      </c>
      <c r="C377" s="26" t="inlineStr">
        <is>
          <t>31</t>
        </is>
      </c>
      <c r="D377" s="26" t="inlineStr">
        <is>
          <t>0</t>
        </is>
      </c>
      <c r="E377" s="27" t="inlineStr">
        <is>
          <t>GPS_CNT</t>
        </is>
      </c>
      <c r="F377" s="62" t="inlineStr">
        <is>
          <t>RO</t>
        </is>
      </c>
      <c r="G377" s="29" t="inlineStr">
        <is>
          <t>GPS fix count since reset.</t>
        </is>
      </c>
    </row>
    <row r="378" ht="32" customHeight="1">
      <c r="A378" s="5" t="inlineStr">
        <is>
          <t>0x4088</t>
        </is>
      </c>
      <c r="B378" s="25" t="inlineStr">
        <is>
          <t>DBG_PID_CNT</t>
        </is>
      </c>
      <c r="C378" s="26" t="inlineStr">
        <is>
          <t>31</t>
        </is>
      </c>
      <c r="D378" s="26" t="inlineStr">
        <is>
          <t>0</t>
        </is>
      </c>
      <c r="E378" s="27" t="inlineStr">
        <is>
          <t>PID_CNT</t>
        </is>
      </c>
      <c r="F378" s="62" t="inlineStr">
        <is>
          <t>RO</t>
        </is>
      </c>
      <c r="G378" s="29" t="inlineStr">
        <is>
          <t>PID compute cycles since reset.</t>
        </is>
      </c>
    </row>
    <row r="379" ht="32" customHeight="1">
      <c r="A379" s="5" t="inlineStr">
        <is>
          <t>0x408C</t>
        </is>
      </c>
      <c r="B379" s="25" t="inlineStr">
        <is>
          <t>DBG_CA_EVTS</t>
        </is>
      </c>
      <c r="C379" s="26" t="inlineStr">
        <is>
          <t>31</t>
        </is>
      </c>
      <c r="D379" s="26" t="inlineStr">
        <is>
          <t>16</t>
        </is>
      </c>
      <c r="E379" s="27" t="inlineStr">
        <is>
          <t>CA_OVERRIDES</t>
        </is>
      </c>
      <c r="F379" s="62" t="inlineStr">
        <is>
          <t>RO</t>
        </is>
      </c>
      <c r="G379" s="29" t="inlineStr">
        <is>
          <t>CA override activations (threat detected).</t>
        </is>
      </c>
    </row>
    <row r="380" ht="32" customHeight="1">
      <c r="A380" s="30" t="inlineStr">
        <is>
          <t>0x408C</t>
        </is>
      </c>
      <c r="B380" s="31" t="inlineStr">
        <is>
          <t>DBG_CA_EVTS</t>
        </is>
      </c>
      <c r="C380" s="32" t="inlineStr">
        <is>
          <t>15</t>
        </is>
      </c>
      <c r="D380" s="32" t="inlineStr">
        <is>
          <t>0</t>
        </is>
      </c>
      <c r="E380" s="33" t="inlineStr">
        <is>
          <t>CA_CLEARS</t>
        </is>
      </c>
      <c r="F380" s="63" t="inlineStr">
        <is>
          <t>RO</t>
        </is>
      </c>
      <c r="G380" s="35" t="inlineStr">
        <is>
          <t>CA override clears (threat resolved).</t>
        </is>
      </c>
    </row>
    <row r="381" ht="32" customHeight="1">
      <c r="A381" s="5" t="inlineStr">
        <is>
          <t>0x4090</t>
        </is>
      </c>
      <c r="B381" s="25" t="inlineStr">
        <is>
          <t>DBG_FAULT_LOG</t>
        </is>
      </c>
      <c r="C381" s="26" t="inlineStr">
        <is>
          <t>31</t>
        </is>
      </c>
      <c r="D381" s="26" t="inlineStr">
        <is>
          <t>8</t>
        </is>
      </c>
      <c r="E381" s="27" t="inlineStr">
        <is>
          <t>RESERVED</t>
        </is>
      </c>
      <c r="F381" s="72" t="inlineStr">
        <is>
          <t>W1C</t>
        </is>
      </c>
      <c r="G381" s="29" t="inlineStr">
        <is>
          <t>Reserved.</t>
        </is>
      </c>
    </row>
    <row r="382" ht="32" customHeight="1">
      <c r="A382" s="30" t="inlineStr">
        <is>
          <t>0x4090</t>
        </is>
      </c>
      <c r="B382" s="31" t="inlineStr">
        <is>
          <t>DBG_FAULT_LOG</t>
        </is>
      </c>
      <c r="C382" s="32" t="inlineStr">
        <is>
          <t>7</t>
        </is>
      </c>
      <c r="D382" s="32" t="inlineStr">
        <is>
          <t>7</t>
        </is>
      </c>
      <c r="E382" s="33" t="inlineStr">
        <is>
          <t>MAV_TMO</t>
        </is>
      </c>
      <c r="F382" s="73" t="inlineStr">
        <is>
          <t>W1C</t>
        </is>
      </c>
      <c r="G382" s="35" t="inlineStr">
        <is>
          <t>MAVLink heartbeat timeout (&gt; 3 s).</t>
        </is>
      </c>
    </row>
    <row r="383" ht="32" customHeight="1">
      <c r="A383" s="24" t="inlineStr">
        <is>
          <t>0x4090</t>
        </is>
      </c>
      <c r="B383" s="36" t="inlineStr">
        <is>
          <t>DBG_FAULT_LOG</t>
        </is>
      </c>
      <c r="C383" s="37" t="inlineStr">
        <is>
          <t>6</t>
        </is>
      </c>
      <c r="D383" s="37" t="inlineStr">
        <is>
          <t>6</t>
        </is>
      </c>
      <c r="E383" s="38" t="inlineStr">
        <is>
          <t>GPS_LOST</t>
        </is>
      </c>
      <c r="F383" s="74" t="inlineStr">
        <is>
          <t>W1C</t>
        </is>
      </c>
      <c r="G383" s="40" t="inlineStr">
        <is>
          <t>GPS lock lost during flight.</t>
        </is>
      </c>
    </row>
    <row r="384" ht="32" customHeight="1">
      <c r="A384" s="41" t="inlineStr">
        <is>
          <t>0x4090</t>
        </is>
      </c>
      <c r="B384" s="42" t="inlineStr">
        <is>
          <t>DBG_FAULT_LOG</t>
        </is>
      </c>
      <c r="C384" s="43" t="inlineStr">
        <is>
          <t>5</t>
        </is>
      </c>
      <c r="D384" s="43" t="inlineStr">
        <is>
          <t>5</t>
        </is>
      </c>
      <c r="E384" s="44" t="inlineStr">
        <is>
          <t>BARO_FAIL</t>
        </is>
      </c>
      <c r="F384" s="75" t="inlineStr">
        <is>
          <t>W1C</t>
        </is>
      </c>
      <c r="G384" s="46" t="inlineStr">
        <is>
          <t>Barometer SPI/I2C timeout.</t>
        </is>
      </c>
    </row>
    <row r="385" ht="32" customHeight="1">
      <c r="A385" s="22" t="inlineStr">
        <is>
          <t>0x4090</t>
        </is>
      </c>
      <c r="B385" s="47" t="inlineStr">
        <is>
          <t>DBG_FAULT_LOG</t>
        </is>
      </c>
      <c r="C385" s="48" t="inlineStr">
        <is>
          <t>4</t>
        </is>
      </c>
      <c r="D385" s="48" t="inlineStr">
        <is>
          <t>4</t>
        </is>
      </c>
      <c r="E385" s="49" t="inlineStr">
        <is>
          <t>IMU_FAIL</t>
        </is>
      </c>
      <c r="F385" s="76" t="inlineStr">
        <is>
          <t>W1C</t>
        </is>
      </c>
      <c r="G385" s="51" t="inlineStr">
        <is>
          <t>IMU SPI timeout.</t>
        </is>
      </c>
    </row>
    <row r="386" ht="32" customHeight="1">
      <c r="A386" s="52" t="inlineStr">
        <is>
          <t>0x4090</t>
        </is>
      </c>
      <c r="B386" s="53" t="inlineStr">
        <is>
          <t>DBG_FAULT_LOG</t>
        </is>
      </c>
      <c r="C386" s="54" t="inlineStr">
        <is>
          <t>3</t>
        </is>
      </c>
      <c r="D386" s="54" t="inlineStr">
        <is>
          <t>3</t>
        </is>
      </c>
      <c r="E386" s="55" t="inlineStr">
        <is>
          <t>GEOFENCE</t>
        </is>
      </c>
      <c r="F386" s="77" t="inlineStr">
        <is>
          <t>W1C</t>
        </is>
      </c>
      <c r="G386" s="57" t="inlineStr">
        <is>
          <t>Geofence boundary breached.</t>
        </is>
      </c>
    </row>
    <row r="387" ht="32" customHeight="1">
      <c r="A387" s="58" t="inlineStr">
        <is>
          <t>0x4090</t>
        </is>
      </c>
      <c r="B387" s="59" t="inlineStr">
        <is>
          <t>DBG_FAULT_LOG</t>
        </is>
      </c>
      <c r="C387" s="60" t="inlineStr">
        <is>
          <t>2</t>
        </is>
      </c>
      <c r="D387" s="60" t="inlineStr">
        <is>
          <t>2</t>
        </is>
      </c>
      <c r="E387" s="16" t="inlineStr">
        <is>
          <t>MOTOR_OVR</t>
        </is>
      </c>
      <c r="F387" s="17" t="inlineStr">
        <is>
          <t>W1C</t>
        </is>
      </c>
      <c r="G387" s="20" t="inlineStr">
        <is>
          <t>All 4 motors at saturation simultaneously.</t>
        </is>
      </c>
    </row>
    <row r="388" ht="32" customHeight="1">
      <c r="A388" s="69" t="inlineStr">
        <is>
          <t>0x4090</t>
        </is>
      </c>
      <c r="B388" s="70" t="inlineStr">
        <is>
          <t>DBG_FAULT_LOG</t>
        </is>
      </c>
      <c r="C388" s="71" t="inlineStr">
        <is>
          <t>1</t>
        </is>
      </c>
      <c r="D388" s="71" t="inlineStr">
        <is>
          <t>1</t>
        </is>
      </c>
      <c r="E388" s="11" t="inlineStr">
        <is>
          <t>WDT_EXP</t>
        </is>
      </c>
      <c r="F388" s="78" t="inlineStr">
        <is>
          <t>W1C</t>
        </is>
      </c>
      <c r="G388" s="15" t="inlineStr">
        <is>
          <t>UAV watchdog expired.</t>
        </is>
      </c>
    </row>
    <row r="389" ht="32" customHeight="1">
      <c r="A389" s="5" t="inlineStr">
        <is>
          <t>0x4090</t>
        </is>
      </c>
      <c r="B389" s="25" t="inlineStr">
        <is>
          <t>DBG_FAULT_LOG</t>
        </is>
      </c>
      <c r="C389" s="26" t="inlineStr">
        <is>
          <t>0</t>
        </is>
      </c>
      <c r="D389" s="26" t="inlineStr">
        <is>
          <t>0</t>
        </is>
      </c>
      <c r="E389" s="27" t="inlineStr">
        <is>
          <t>EMERGENCY</t>
        </is>
      </c>
      <c r="F389" s="72" t="inlineStr">
        <is>
          <t>W1C</t>
        </is>
      </c>
      <c r="G389" s="29" t="inlineStr">
        <is>
          <t>Emergency state entered (manual clear required).</t>
        </is>
      </c>
    </row>
    <row r="390" ht="20" customHeight="1">
      <c r="A390" s="21" t="inlineStr">
        <is>
          <t>▶  UAV 3</t>
        </is>
      </c>
    </row>
    <row r="391" ht="32" customHeight="1">
      <c r="A391" s="5" t="inlineStr">
        <is>
          <t>0x5000</t>
        </is>
      </c>
      <c r="B391" s="25" t="inlineStr">
        <is>
          <t>UAV_CTRL</t>
        </is>
      </c>
      <c r="C391" s="26" t="inlineStr">
        <is>
          <t>31</t>
        </is>
      </c>
      <c r="D391" s="26" t="inlineStr">
        <is>
          <t>24</t>
        </is>
      </c>
      <c r="E391" s="27" t="inlineStr">
        <is>
          <t>RESERVED</t>
        </is>
      </c>
      <c r="F391" s="28" t="inlineStr">
        <is>
          <t>RW</t>
        </is>
      </c>
      <c r="G391" s="29" t="inlineStr">
        <is>
          <t>Reserved.</t>
        </is>
      </c>
    </row>
    <row r="392" ht="32" customHeight="1">
      <c r="A392" s="30" t="inlineStr">
        <is>
          <t>0x5000</t>
        </is>
      </c>
      <c r="B392" s="31" t="inlineStr">
        <is>
          <t>UAV_CTRL</t>
        </is>
      </c>
      <c r="C392" s="32" t="inlineStr">
        <is>
          <t>23</t>
        </is>
      </c>
      <c r="D392" s="32" t="inlineStr">
        <is>
          <t>16</t>
        </is>
      </c>
      <c r="E392" s="33" t="inlineStr">
        <is>
          <t>ARM_KEY</t>
        </is>
      </c>
      <c r="F392" s="34" t="inlineStr">
        <is>
          <t>RW</t>
        </is>
      </c>
      <c r="G392" s="35" t="inlineStr">
        <is>
          <t>Write 0xA5 (with UAV_EN=1) to arm. Safety interlock.</t>
        </is>
      </c>
    </row>
    <row r="393" ht="32" customHeight="1">
      <c r="A393" s="24" t="inlineStr">
        <is>
          <t>0x5000</t>
        </is>
      </c>
      <c r="B393" s="36" t="inlineStr">
        <is>
          <t>UAV_CTRL</t>
        </is>
      </c>
      <c r="C393" s="37" t="inlineStr">
        <is>
          <t>15</t>
        </is>
      </c>
      <c r="D393" s="37" t="inlineStr">
        <is>
          <t>12</t>
        </is>
      </c>
      <c r="E393" s="38" t="inlineStr">
        <is>
          <t>FLIGHT_MODE</t>
        </is>
      </c>
      <c r="F393" s="39" t="inlineStr">
        <is>
          <t>RW</t>
        </is>
      </c>
      <c r="G393" s="40" t="inlineStr">
        <is>
          <t>0=STABILIZE 1=ALT_HOLD 2=POS_HOLD 3=AUTO 4=RTL 5=LAND</t>
        </is>
      </c>
    </row>
    <row r="394" ht="32" customHeight="1">
      <c r="A394" s="41" t="inlineStr">
        <is>
          <t>0x5000</t>
        </is>
      </c>
      <c r="B394" s="42" t="inlineStr">
        <is>
          <t>UAV_CTRL</t>
        </is>
      </c>
      <c r="C394" s="43" t="inlineStr">
        <is>
          <t>5</t>
        </is>
      </c>
      <c r="D394" s="43" t="inlineStr">
        <is>
          <t>5</t>
        </is>
      </c>
      <c r="E394" s="44" t="inlineStr">
        <is>
          <t>EKF_EN</t>
        </is>
      </c>
      <c r="F394" s="45" t="inlineStr">
        <is>
          <t>RW</t>
        </is>
      </c>
      <c r="G394" s="46" t="inlineStr">
        <is>
          <t>1=Enable 9-state EKF.</t>
        </is>
      </c>
    </row>
    <row r="395" ht="32" customHeight="1">
      <c r="A395" s="22" t="inlineStr">
        <is>
          <t>0x5000</t>
        </is>
      </c>
      <c r="B395" s="47" t="inlineStr">
        <is>
          <t>UAV_CTRL</t>
        </is>
      </c>
      <c r="C395" s="48" t="inlineStr">
        <is>
          <t>4</t>
        </is>
      </c>
      <c r="D395" s="48" t="inlineStr">
        <is>
          <t>4</t>
        </is>
      </c>
      <c r="E395" s="49" t="inlineStr">
        <is>
          <t>PID_EN</t>
        </is>
      </c>
      <c r="F395" s="50" t="inlineStr">
        <is>
          <t>RW</t>
        </is>
      </c>
      <c r="G395" s="51" t="inlineStr">
        <is>
          <t>1=Enable PID. 0=zero all motor outputs.</t>
        </is>
      </c>
    </row>
    <row r="396" ht="32" customHeight="1">
      <c r="A396" s="52" t="inlineStr">
        <is>
          <t>0x5000</t>
        </is>
      </c>
      <c r="B396" s="53" t="inlineStr">
        <is>
          <t>UAV_CTRL</t>
        </is>
      </c>
      <c r="C396" s="54" t="inlineStr">
        <is>
          <t>3</t>
        </is>
      </c>
      <c r="D396" s="54" t="inlineStr">
        <is>
          <t>3</t>
        </is>
      </c>
      <c r="E396" s="55" t="inlineStr">
        <is>
          <t>NAV_EN</t>
        </is>
      </c>
      <c r="F396" s="56" t="inlineStr">
        <is>
          <t>RW</t>
        </is>
      </c>
      <c r="G396" s="57" t="inlineStr">
        <is>
          <t>1=Enable waypoint navigation FSM.</t>
        </is>
      </c>
    </row>
    <row r="397" ht="32" customHeight="1">
      <c r="A397" s="58" t="inlineStr">
        <is>
          <t>0x5000</t>
        </is>
      </c>
      <c r="B397" s="59" t="inlineStr">
        <is>
          <t>UAV_CTRL</t>
        </is>
      </c>
      <c r="C397" s="60" t="inlineStr">
        <is>
          <t>2</t>
        </is>
      </c>
      <c r="D397" s="60" t="inlineStr">
        <is>
          <t>2</t>
        </is>
      </c>
      <c r="E397" s="16" t="inlineStr">
        <is>
          <t>MAV_EN</t>
        </is>
      </c>
      <c r="F397" s="61" t="inlineStr">
        <is>
          <t>RW</t>
        </is>
      </c>
      <c r="G397" s="20" t="inlineStr">
        <is>
          <t>1=Enable MAVLink stack.</t>
        </is>
      </c>
    </row>
    <row r="398" ht="32" customHeight="1">
      <c r="A398" s="69" t="inlineStr">
        <is>
          <t>0x5000</t>
        </is>
      </c>
      <c r="B398" s="70" t="inlineStr">
        <is>
          <t>UAV_CTRL</t>
        </is>
      </c>
      <c r="C398" s="71" t="inlineStr">
        <is>
          <t>1</t>
        </is>
      </c>
      <c r="D398" s="71" t="inlineStr">
        <is>
          <t>1</t>
        </is>
      </c>
      <c r="E398" s="11" t="inlineStr">
        <is>
          <t>SOFT_RST</t>
        </is>
      </c>
      <c r="F398" s="79" t="inlineStr">
        <is>
          <t>RW</t>
        </is>
      </c>
      <c r="G398" s="15" t="inlineStr">
        <is>
          <t>Write 1 to soft-reset (self-clearing, 8 cycles).</t>
        </is>
      </c>
    </row>
    <row r="399" ht="32" customHeight="1">
      <c r="A399" s="5" t="inlineStr">
        <is>
          <t>0x5000</t>
        </is>
      </c>
      <c r="B399" s="25" t="inlineStr">
        <is>
          <t>UAV_CTRL</t>
        </is>
      </c>
      <c r="C399" s="26" t="inlineStr">
        <is>
          <t>0</t>
        </is>
      </c>
      <c r="D399" s="26" t="inlineStr">
        <is>
          <t>0</t>
        </is>
      </c>
      <c r="E399" s="27" t="inlineStr">
        <is>
          <t>UAV_EN</t>
        </is>
      </c>
      <c r="F399" s="28" t="inlineStr">
        <is>
          <t>RW</t>
        </is>
      </c>
      <c r="G399" s="29" t="inlineStr">
        <is>
          <t>1=UAV subsystem enabled.</t>
        </is>
      </c>
    </row>
    <row r="400" ht="32" customHeight="1">
      <c r="A400" s="5" t="inlineStr">
        <is>
          <t>0x5004</t>
        </is>
      </c>
      <c r="B400" s="25" t="inlineStr">
        <is>
          <t>UAV_STATUS</t>
        </is>
      </c>
      <c r="C400" s="26" t="inlineStr">
        <is>
          <t>31</t>
        </is>
      </c>
      <c r="D400" s="26" t="inlineStr">
        <is>
          <t>28</t>
        </is>
      </c>
      <c r="E400" s="27" t="inlineStr">
        <is>
          <t>NAV_STATE</t>
        </is>
      </c>
      <c r="F400" s="62" t="inlineStr">
        <is>
          <t>RO</t>
        </is>
      </c>
      <c r="G400" s="29" t="inlineStr">
        <is>
          <t>0=DISARMD 1=ARMED 2=TAKEOFF 3=EN_ROUTE 4=LOITER 5=LAND 6=RTL 7=EMRG</t>
        </is>
      </c>
    </row>
    <row r="401" ht="32" customHeight="1">
      <c r="A401" s="30" t="inlineStr">
        <is>
          <t>0x5004</t>
        </is>
      </c>
      <c r="B401" s="31" t="inlineStr">
        <is>
          <t>UAV_STATUS</t>
        </is>
      </c>
      <c r="C401" s="32" t="inlineStr">
        <is>
          <t>27</t>
        </is>
      </c>
      <c r="D401" s="32" t="inlineStr">
        <is>
          <t>24</t>
        </is>
      </c>
      <c r="E401" s="33" t="inlineStr">
        <is>
          <t>FAULT_CODE</t>
        </is>
      </c>
      <c r="F401" s="63" t="inlineStr">
        <is>
          <t>RO</t>
        </is>
      </c>
      <c r="G401" s="35" t="inlineStr">
        <is>
          <t>0=none 1=GPS_LOST 2=IMU_FAIL 3=MTR_OVR 4=FENCE 5=WDT</t>
        </is>
      </c>
    </row>
    <row r="402" ht="32" customHeight="1">
      <c r="A402" s="24" t="inlineStr">
        <is>
          <t>0x5004</t>
        </is>
      </c>
      <c r="B402" s="36" t="inlineStr">
        <is>
          <t>UAV_STATUS</t>
        </is>
      </c>
      <c r="C402" s="37" t="inlineStr">
        <is>
          <t>23</t>
        </is>
      </c>
      <c r="D402" s="37" t="inlineStr">
        <is>
          <t>23</t>
        </is>
      </c>
      <c r="E402" s="38" t="inlineStr">
        <is>
          <t>ARMED</t>
        </is>
      </c>
      <c r="F402" s="64" t="inlineStr">
        <is>
          <t>RO</t>
        </is>
      </c>
      <c r="G402" s="40" t="inlineStr">
        <is>
          <t>1=Motors armed.</t>
        </is>
      </c>
    </row>
    <row r="403" ht="32" customHeight="1">
      <c r="A403" s="41" t="inlineStr">
        <is>
          <t>0x5004</t>
        </is>
      </c>
      <c r="B403" s="42" t="inlineStr">
        <is>
          <t>UAV_STATUS</t>
        </is>
      </c>
      <c r="C403" s="43" t="inlineStr">
        <is>
          <t>22</t>
        </is>
      </c>
      <c r="D403" s="43" t="inlineStr">
        <is>
          <t>22</t>
        </is>
      </c>
      <c r="E403" s="44" t="inlineStr">
        <is>
          <t>GPS_LOCK</t>
        </is>
      </c>
      <c r="F403" s="65" t="inlineStr">
        <is>
          <t>RO</t>
        </is>
      </c>
      <c r="G403" s="46" t="inlineStr">
        <is>
          <t>1=GPS fix (≥4 sats, HDOP &lt; 3.0).</t>
        </is>
      </c>
    </row>
    <row r="404" ht="32" customHeight="1">
      <c r="A404" s="22" t="inlineStr">
        <is>
          <t>0x5004</t>
        </is>
      </c>
      <c r="B404" s="47" t="inlineStr">
        <is>
          <t>UAV_STATUS</t>
        </is>
      </c>
      <c r="C404" s="48" t="inlineStr">
        <is>
          <t>21</t>
        </is>
      </c>
      <c r="D404" s="48" t="inlineStr">
        <is>
          <t>21</t>
        </is>
      </c>
      <c r="E404" s="49" t="inlineStr">
        <is>
          <t>MAV_LINK</t>
        </is>
      </c>
      <c r="F404" s="66" t="inlineStr">
        <is>
          <t>RO</t>
        </is>
      </c>
      <c r="G404" s="51" t="inlineStr">
        <is>
          <t>1=MAVLink heartbeat &lt; 3 s ago.</t>
        </is>
      </c>
    </row>
    <row r="405" ht="32" customHeight="1">
      <c r="A405" s="52" t="inlineStr">
        <is>
          <t>0x5004</t>
        </is>
      </c>
      <c r="B405" s="53" t="inlineStr">
        <is>
          <t>UAV_STATUS</t>
        </is>
      </c>
      <c r="C405" s="54" t="inlineStr">
        <is>
          <t>20</t>
        </is>
      </c>
      <c r="D405" s="54" t="inlineStr">
        <is>
          <t>20</t>
        </is>
      </c>
      <c r="E405" s="55" t="inlineStr">
        <is>
          <t>BARO_OK</t>
        </is>
      </c>
      <c r="F405" s="67" t="inlineStr">
        <is>
          <t>RO</t>
        </is>
      </c>
      <c r="G405" s="57" t="inlineStr">
        <is>
          <t>1=Barometer fresh (&lt; 100 ms).</t>
        </is>
      </c>
    </row>
    <row r="406" ht="32" customHeight="1">
      <c r="A406" s="58" t="inlineStr">
        <is>
          <t>0x5004</t>
        </is>
      </c>
      <c r="B406" s="59" t="inlineStr">
        <is>
          <t>UAV_STATUS</t>
        </is>
      </c>
      <c r="C406" s="60" t="inlineStr">
        <is>
          <t>19</t>
        </is>
      </c>
      <c r="D406" s="60" t="inlineStr">
        <is>
          <t>19</t>
        </is>
      </c>
      <c r="E406" s="16" t="inlineStr">
        <is>
          <t>TOF_ACTIVE</t>
        </is>
      </c>
      <c r="F406" s="68" t="inlineStr">
        <is>
          <t>RO</t>
        </is>
      </c>
      <c r="G406" s="20" t="inlineStr">
        <is>
          <t>1=ToF ranging active (alt &lt; 10 m AGL).</t>
        </is>
      </c>
    </row>
    <row r="407" ht="32" customHeight="1">
      <c r="A407" s="69" t="inlineStr">
        <is>
          <t>0x5004</t>
        </is>
      </c>
      <c r="B407" s="70" t="inlineStr">
        <is>
          <t>UAV_STATUS</t>
        </is>
      </c>
      <c r="C407" s="71" t="inlineStr">
        <is>
          <t>18</t>
        </is>
      </c>
      <c r="D407" s="71" t="inlineStr">
        <is>
          <t>18</t>
        </is>
      </c>
      <c r="E407" s="11" t="inlineStr">
        <is>
          <t>CA_ACTIVE</t>
        </is>
      </c>
      <c r="F407" s="12" t="inlineStr">
        <is>
          <t>RO</t>
        </is>
      </c>
      <c r="G407" s="15" t="inlineStr">
        <is>
          <t>1=Collision avoidance override active.</t>
        </is>
      </c>
    </row>
    <row r="408" ht="32" customHeight="1">
      <c r="A408" s="5" t="inlineStr">
        <is>
          <t>0x5004</t>
        </is>
      </c>
      <c r="B408" s="25" t="inlineStr">
        <is>
          <t>UAV_STATUS</t>
        </is>
      </c>
      <c r="C408" s="26" t="inlineStr">
        <is>
          <t>17</t>
        </is>
      </c>
      <c r="D408" s="26" t="inlineStr">
        <is>
          <t>17</t>
        </is>
      </c>
      <c r="E408" s="27" t="inlineStr">
        <is>
          <t>FENCE_WARN</t>
        </is>
      </c>
      <c r="F408" s="62" t="inlineStr">
        <is>
          <t>RO</t>
        </is>
      </c>
      <c r="G408" s="29" t="inlineStr">
        <is>
          <t>1=Within 5 m of geofence boundary.</t>
        </is>
      </c>
    </row>
    <row r="409" ht="32" customHeight="1">
      <c r="A409" s="30" t="inlineStr">
        <is>
          <t>0x5004</t>
        </is>
      </c>
      <c r="B409" s="31" t="inlineStr">
        <is>
          <t>UAV_STATUS</t>
        </is>
      </c>
      <c r="C409" s="32" t="inlineStr">
        <is>
          <t>16</t>
        </is>
      </c>
      <c r="D409" s="32" t="inlineStr">
        <is>
          <t>16</t>
        </is>
      </c>
      <c r="E409" s="33" t="inlineStr">
        <is>
          <t>EKF_CONV</t>
        </is>
      </c>
      <c r="F409" s="63" t="inlineStr">
        <is>
          <t>RO</t>
        </is>
      </c>
      <c r="G409" s="35" t="inlineStr">
        <is>
          <t>1=9-state EKF converged.</t>
        </is>
      </c>
    </row>
    <row r="410" ht="32" customHeight="1">
      <c r="A410" s="24" t="inlineStr">
        <is>
          <t>0x5004</t>
        </is>
      </c>
      <c r="B410" s="36" t="inlineStr">
        <is>
          <t>UAV_STATUS</t>
        </is>
      </c>
      <c r="C410" s="37" t="inlineStr">
        <is>
          <t>15</t>
        </is>
      </c>
      <c r="D410" s="37" t="inlineStr">
        <is>
          <t>12</t>
        </is>
      </c>
      <c r="E410" s="38" t="inlineStr">
        <is>
          <t>WP_IDX</t>
        </is>
      </c>
      <c r="F410" s="64" t="inlineStr">
        <is>
          <t>RO</t>
        </is>
      </c>
      <c r="G410" s="40" t="inlineStr">
        <is>
          <t>Current waypoint index 0–31.</t>
        </is>
      </c>
    </row>
    <row r="411" ht="32" customHeight="1">
      <c r="A411" s="41" t="inlineStr">
        <is>
          <t>0x5004</t>
        </is>
      </c>
      <c r="B411" s="42" t="inlineStr">
        <is>
          <t>UAV_STATUS</t>
        </is>
      </c>
      <c r="C411" s="43" t="inlineStr">
        <is>
          <t>11</t>
        </is>
      </c>
      <c r="D411" s="43" t="inlineStr">
        <is>
          <t>8</t>
        </is>
      </c>
      <c r="E411" s="44" t="inlineStr">
        <is>
          <t>RESERVED</t>
        </is>
      </c>
      <c r="F411" s="65" t="inlineStr">
        <is>
          <t>RO</t>
        </is>
      </c>
      <c r="G411" s="46" t="inlineStr">
        <is>
          <t>Reserved.</t>
        </is>
      </c>
    </row>
    <row r="412" ht="32" customHeight="1">
      <c r="A412" s="22" t="inlineStr">
        <is>
          <t>0x5004</t>
        </is>
      </c>
      <c r="B412" s="47" t="inlineStr">
        <is>
          <t>UAV_STATUS</t>
        </is>
      </c>
      <c r="C412" s="48" t="inlineStr">
        <is>
          <t>7</t>
        </is>
      </c>
      <c r="D412" s="48" t="inlineStr">
        <is>
          <t>4</t>
        </is>
      </c>
      <c r="E412" s="49" t="inlineStr">
        <is>
          <t>SV_COUNT</t>
        </is>
      </c>
      <c r="F412" s="66" t="inlineStr">
        <is>
          <t>RO</t>
        </is>
      </c>
      <c r="G412" s="51" t="inlineStr">
        <is>
          <t>GPS satellites in view (0–15).</t>
        </is>
      </c>
    </row>
    <row r="413" ht="32" customHeight="1">
      <c r="A413" s="52" t="inlineStr">
        <is>
          <t>0x5004</t>
        </is>
      </c>
      <c r="B413" s="53" t="inlineStr">
        <is>
          <t>UAV_STATUS</t>
        </is>
      </c>
      <c r="C413" s="54" t="inlineStr">
        <is>
          <t>3</t>
        </is>
      </c>
      <c r="D413" s="54" t="inlineStr">
        <is>
          <t>0</t>
        </is>
      </c>
      <c r="E413" s="55" t="inlineStr">
        <is>
          <t>WDT_COUNT</t>
        </is>
      </c>
      <c r="F413" s="67" t="inlineStr">
        <is>
          <t>RO</t>
        </is>
      </c>
      <c r="G413" s="57" t="inlineStr">
        <is>
          <t>Watchdog kick count modulo 16.</t>
        </is>
      </c>
    </row>
    <row r="414" ht="32" customHeight="1">
      <c r="A414" s="5" t="inlineStr">
        <is>
          <t>0x5008</t>
        </is>
      </c>
      <c r="B414" s="25" t="inlineStr">
        <is>
          <t>EKF9_Q_POS</t>
        </is>
      </c>
      <c r="C414" s="26" t="inlineStr">
        <is>
          <t>31</t>
        </is>
      </c>
      <c r="D414" s="26" t="inlineStr">
        <is>
          <t>0</t>
        </is>
      </c>
      <c r="E414" s="27" t="inlineStr">
        <is>
          <t>Q_POS</t>
        </is>
      </c>
      <c r="F414" s="28" t="inlineStr">
        <is>
          <t>RW</t>
        </is>
      </c>
      <c r="G414" s="29" t="inlineStr">
        <is>
          <t>Position noise variance m² Q10.22.</t>
        </is>
      </c>
    </row>
    <row r="415" ht="32" customHeight="1">
      <c r="A415" s="5" t="inlineStr">
        <is>
          <t>0x500C</t>
        </is>
      </c>
      <c r="B415" s="25" t="inlineStr">
        <is>
          <t>EKF9_Q_VEL</t>
        </is>
      </c>
      <c r="C415" s="26" t="inlineStr">
        <is>
          <t>31</t>
        </is>
      </c>
      <c r="D415" s="26" t="inlineStr">
        <is>
          <t>0</t>
        </is>
      </c>
      <c r="E415" s="27" t="inlineStr">
        <is>
          <t>Q_VEL</t>
        </is>
      </c>
      <c r="F415" s="28" t="inlineStr">
        <is>
          <t>RW</t>
        </is>
      </c>
      <c r="G415" s="29" t="inlineStr">
        <is>
          <t>Velocity noise variance Q4.28.</t>
        </is>
      </c>
    </row>
    <row r="416" ht="32" customHeight="1">
      <c r="A416" s="5" t="inlineStr">
        <is>
          <t>0x5010</t>
        </is>
      </c>
      <c r="B416" s="25" t="inlineStr">
        <is>
          <t>EKF9_Q_ANG</t>
        </is>
      </c>
      <c r="C416" s="26" t="inlineStr">
        <is>
          <t>31</t>
        </is>
      </c>
      <c r="D416" s="26" t="inlineStr">
        <is>
          <t>0</t>
        </is>
      </c>
      <c r="E416" s="27" t="inlineStr">
        <is>
          <t>Q_ANG</t>
        </is>
      </c>
      <c r="F416" s="28" t="inlineStr">
        <is>
          <t>RW</t>
        </is>
      </c>
      <c r="G416" s="29" t="inlineStr">
        <is>
          <t>Angle noise variance Q3.29.</t>
        </is>
      </c>
    </row>
    <row r="417" ht="32" customHeight="1">
      <c r="A417" s="5" t="inlineStr">
        <is>
          <t>0x5014</t>
        </is>
      </c>
      <c r="B417" s="25" t="inlineStr">
        <is>
          <t>EKF9_R_GPS_P</t>
        </is>
      </c>
      <c r="C417" s="26" t="inlineStr">
        <is>
          <t>31</t>
        </is>
      </c>
      <c r="D417" s="26" t="inlineStr">
        <is>
          <t>0</t>
        </is>
      </c>
      <c r="E417" s="27" t="inlineStr">
        <is>
          <t>R_GPS_POS</t>
        </is>
      </c>
      <c r="F417" s="28" t="inlineStr">
        <is>
          <t>RW</t>
        </is>
      </c>
      <c r="G417" s="29" t="inlineStr">
        <is>
          <t>GPS position noise Q10.22.</t>
        </is>
      </c>
    </row>
    <row r="418" ht="32" customHeight="1">
      <c r="A418" s="5" t="inlineStr">
        <is>
          <t>0x5018</t>
        </is>
      </c>
      <c r="B418" s="25" t="inlineStr">
        <is>
          <t>EKF9_R_GPS_V</t>
        </is>
      </c>
      <c r="C418" s="26" t="inlineStr">
        <is>
          <t>31</t>
        </is>
      </c>
      <c r="D418" s="26" t="inlineStr">
        <is>
          <t>0</t>
        </is>
      </c>
      <c r="E418" s="27" t="inlineStr">
        <is>
          <t>R_GPS_VEL</t>
        </is>
      </c>
      <c r="F418" s="28" t="inlineStr">
        <is>
          <t>RW</t>
        </is>
      </c>
      <c r="G418" s="29" t="inlineStr">
        <is>
          <t>GPS velocity noise Q4.28.</t>
        </is>
      </c>
    </row>
    <row r="419" ht="32" customHeight="1">
      <c r="A419" s="5" t="inlineStr">
        <is>
          <t>0x501C</t>
        </is>
      </c>
      <c r="B419" s="25" t="inlineStr">
        <is>
          <t>EKF9_R_BARO</t>
        </is>
      </c>
      <c r="C419" s="26" t="inlineStr">
        <is>
          <t>31</t>
        </is>
      </c>
      <c r="D419" s="26" t="inlineStr">
        <is>
          <t>0</t>
        </is>
      </c>
      <c r="E419" s="27" t="inlineStr">
        <is>
          <t>R_BARO</t>
        </is>
      </c>
      <c r="F419" s="28" t="inlineStr">
        <is>
          <t>RW</t>
        </is>
      </c>
      <c r="G419" s="29" t="inlineStr">
        <is>
          <t>Baro noise Q10.22.</t>
        </is>
      </c>
    </row>
    <row r="420" ht="32" customHeight="1">
      <c r="A420" s="5" t="inlineStr">
        <is>
          <t>0x5020</t>
        </is>
      </c>
      <c r="B420" s="25" t="inlineStr">
        <is>
          <t>EKF9_GPS_GATE</t>
        </is>
      </c>
      <c r="C420" s="26" t="inlineStr">
        <is>
          <t>31</t>
        </is>
      </c>
      <c r="D420" s="26" t="inlineStr">
        <is>
          <t>8</t>
        </is>
      </c>
      <c r="E420" s="27" t="inlineStr">
        <is>
          <t>RESERVED</t>
        </is>
      </c>
      <c r="F420" s="28" t="inlineStr">
        <is>
          <t>RW</t>
        </is>
      </c>
      <c r="G420" s="29" t="inlineStr">
        <is>
          <t>Reserved.</t>
        </is>
      </c>
    </row>
    <row r="421" ht="32" customHeight="1">
      <c r="A421" s="30" t="inlineStr">
        <is>
          <t>0x5020</t>
        </is>
      </c>
      <c r="B421" s="31" t="inlineStr">
        <is>
          <t>EKF9_GPS_GATE</t>
        </is>
      </c>
      <c r="C421" s="32" t="inlineStr">
        <is>
          <t>7</t>
        </is>
      </c>
      <c r="D421" s="32" t="inlineStr">
        <is>
          <t>0</t>
        </is>
      </c>
      <c r="E421" s="33" t="inlineStr">
        <is>
          <t>GATE_SIGMA</t>
        </is>
      </c>
      <c r="F421" s="34" t="inlineStr">
        <is>
          <t>RW</t>
        </is>
      </c>
      <c r="G421" s="35" t="inlineStr">
        <is>
          <t>Reject if |innovation| &gt; GATE_SIGMA × √S. Default 5.</t>
        </is>
      </c>
    </row>
    <row r="422" ht="32" customHeight="1">
      <c r="A422" s="5" t="inlineStr">
        <is>
          <t>0x5024</t>
        </is>
      </c>
      <c r="B422" s="25" t="inlineStr">
        <is>
          <t>PID_RATE_KP</t>
        </is>
      </c>
      <c r="C422" s="26" t="inlineStr">
        <is>
          <t>31</t>
        </is>
      </c>
      <c r="D422" s="26" t="inlineStr">
        <is>
          <t>16</t>
        </is>
      </c>
      <c r="E422" s="27" t="inlineStr">
        <is>
          <t>RESERVED</t>
        </is>
      </c>
      <c r="F422" s="28" t="inlineStr">
        <is>
          <t>RW</t>
        </is>
      </c>
      <c r="G422" s="29" t="inlineStr">
        <is>
          <t>Reserved.</t>
        </is>
      </c>
    </row>
    <row r="423" ht="32" customHeight="1">
      <c r="A423" s="30" t="inlineStr">
        <is>
          <t>0x5024</t>
        </is>
      </c>
      <c r="B423" s="31" t="inlineStr">
        <is>
          <t>PID_RATE_KP</t>
        </is>
      </c>
      <c r="C423" s="32" t="inlineStr">
        <is>
          <t>15</t>
        </is>
      </c>
      <c r="D423" s="32" t="inlineStr">
        <is>
          <t>0</t>
        </is>
      </c>
      <c r="E423" s="33" t="inlineStr">
        <is>
          <t>KP_RATE</t>
        </is>
      </c>
      <c r="F423" s="34" t="inlineStr">
        <is>
          <t>RW</t>
        </is>
      </c>
      <c r="G423" s="35" t="inlineStr">
        <is>
          <t>Rate Kp Q4.12. Default 1.5 = 0x1800.</t>
        </is>
      </c>
    </row>
    <row r="424" ht="32" customHeight="1">
      <c r="A424" s="5" t="inlineStr">
        <is>
          <t>0x5028</t>
        </is>
      </c>
      <c r="B424" s="25" t="inlineStr">
        <is>
          <t>PID_ROLL_KP</t>
        </is>
      </c>
      <c r="C424" s="26" t="inlineStr">
        <is>
          <t>31</t>
        </is>
      </c>
      <c r="D424" s="26" t="inlineStr">
        <is>
          <t>16</t>
        </is>
      </c>
      <c r="E424" s="27" t="inlineStr">
        <is>
          <t>RESERVED</t>
        </is>
      </c>
      <c r="F424" s="28" t="inlineStr">
        <is>
          <t>RW</t>
        </is>
      </c>
      <c r="G424" s="29" t="inlineStr">
        <is>
          <t>Reserved.</t>
        </is>
      </c>
    </row>
    <row r="425" ht="32" customHeight="1">
      <c r="A425" s="30" t="inlineStr">
        <is>
          <t>0x5028</t>
        </is>
      </c>
      <c r="B425" s="31" t="inlineStr">
        <is>
          <t>PID_ROLL_KP</t>
        </is>
      </c>
      <c r="C425" s="32" t="inlineStr">
        <is>
          <t>15</t>
        </is>
      </c>
      <c r="D425" s="32" t="inlineStr">
        <is>
          <t>0</t>
        </is>
      </c>
      <c r="E425" s="33" t="inlineStr">
        <is>
          <t>KP</t>
        </is>
      </c>
      <c r="F425" s="34" t="inlineStr">
        <is>
          <t>RW</t>
        </is>
      </c>
      <c r="G425" s="35" t="inlineStr">
        <is>
          <t>Roll-rate Kp Q4.12.</t>
        </is>
      </c>
    </row>
    <row r="426" ht="32" customHeight="1">
      <c r="A426" s="5" t="inlineStr">
        <is>
          <t>0x502C</t>
        </is>
      </c>
      <c r="B426" s="25" t="inlineStr">
        <is>
          <t>PID_ROLL_KI</t>
        </is>
      </c>
      <c r="C426" s="26" t="inlineStr">
        <is>
          <t>31</t>
        </is>
      </c>
      <c r="D426" s="26" t="inlineStr">
        <is>
          <t>16</t>
        </is>
      </c>
      <c r="E426" s="27" t="inlineStr">
        <is>
          <t>RESERVED</t>
        </is>
      </c>
      <c r="F426" s="28" t="inlineStr">
        <is>
          <t>RW</t>
        </is>
      </c>
      <c r="G426" s="29" t="inlineStr">
        <is>
          <t>Reserved.</t>
        </is>
      </c>
    </row>
    <row r="427" ht="32" customHeight="1">
      <c r="A427" s="30" t="inlineStr">
        <is>
          <t>0x502C</t>
        </is>
      </c>
      <c r="B427" s="31" t="inlineStr">
        <is>
          <t>PID_ROLL_KI</t>
        </is>
      </c>
      <c r="C427" s="32" t="inlineStr">
        <is>
          <t>15</t>
        </is>
      </c>
      <c r="D427" s="32" t="inlineStr">
        <is>
          <t>0</t>
        </is>
      </c>
      <c r="E427" s="33" t="inlineStr">
        <is>
          <t>KI</t>
        </is>
      </c>
      <c r="F427" s="34" t="inlineStr">
        <is>
          <t>RW</t>
        </is>
      </c>
      <c r="G427" s="35" t="inlineStr">
        <is>
          <t>Roll-rate Ki Q4.12.</t>
        </is>
      </c>
    </row>
    <row r="428" ht="32" customHeight="1">
      <c r="A428" s="5" t="inlineStr">
        <is>
          <t>0x5030</t>
        </is>
      </c>
      <c r="B428" s="25" t="inlineStr">
        <is>
          <t>PID_ROLL_KD</t>
        </is>
      </c>
      <c r="C428" s="26" t="inlineStr">
        <is>
          <t>31</t>
        </is>
      </c>
      <c r="D428" s="26" t="inlineStr">
        <is>
          <t>16</t>
        </is>
      </c>
      <c r="E428" s="27" t="inlineStr">
        <is>
          <t>RESERVED</t>
        </is>
      </c>
      <c r="F428" s="28" t="inlineStr">
        <is>
          <t>RW</t>
        </is>
      </c>
      <c r="G428" s="29" t="inlineStr">
        <is>
          <t>Reserved.</t>
        </is>
      </c>
    </row>
    <row r="429" ht="32" customHeight="1">
      <c r="A429" s="30" t="inlineStr">
        <is>
          <t>0x5030</t>
        </is>
      </c>
      <c r="B429" s="31" t="inlineStr">
        <is>
          <t>PID_ROLL_KD</t>
        </is>
      </c>
      <c r="C429" s="32" t="inlineStr">
        <is>
          <t>15</t>
        </is>
      </c>
      <c r="D429" s="32" t="inlineStr">
        <is>
          <t>0</t>
        </is>
      </c>
      <c r="E429" s="33" t="inlineStr">
        <is>
          <t>KD</t>
        </is>
      </c>
      <c r="F429" s="34" t="inlineStr">
        <is>
          <t>RW</t>
        </is>
      </c>
      <c r="G429" s="35" t="inlineStr">
        <is>
          <t>Roll-rate Kd Q4.12.</t>
        </is>
      </c>
    </row>
    <row r="430" ht="32" customHeight="1">
      <c r="A430" s="5" t="inlineStr">
        <is>
          <t>0x5034</t>
        </is>
      </c>
      <c r="B430" s="25" t="inlineStr">
        <is>
          <t>PID_PITCH_KP</t>
        </is>
      </c>
      <c r="C430" s="26" t="inlineStr">
        <is>
          <t>31</t>
        </is>
      </c>
      <c r="D430" s="26" t="inlineStr">
        <is>
          <t>16</t>
        </is>
      </c>
      <c r="E430" s="27" t="inlineStr">
        <is>
          <t>RESERVED</t>
        </is>
      </c>
      <c r="F430" s="28" t="inlineStr">
        <is>
          <t>RW</t>
        </is>
      </c>
      <c r="G430" s="29" t="inlineStr">
        <is>
          <t>Reserved.</t>
        </is>
      </c>
    </row>
    <row r="431" ht="32" customHeight="1">
      <c r="A431" s="30" t="inlineStr">
        <is>
          <t>0x5034</t>
        </is>
      </c>
      <c r="B431" s="31" t="inlineStr">
        <is>
          <t>PID_PITCH_KP</t>
        </is>
      </c>
      <c r="C431" s="32" t="inlineStr">
        <is>
          <t>15</t>
        </is>
      </c>
      <c r="D431" s="32" t="inlineStr">
        <is>
          <t>0</t>
        </is>
      </c>
      <c r="E431" s="33" t="inlineStr">
        <is>
          <t>KP</t>
        </is>
      </c>
      <c r="F431" s="34" t="inlineStr">
        <is>
          <t>RW</t>
        </is>
      </c>
      <c r="G431" s="35" t="inlineStr">
        <is>
          <t>Pitch-rate Kp Q4.12.</t>
        </is>
      </c>
    </row>
    <row r="432" ht="32" customHeight="1">
      <c r="A432" s="5" t="inlineStr">
        <is>
          <t>0x5038</t>
        </is>
      </c>
      <c r="B432" s="25" t="inlineStr">
        <is>
          <t>PID_PITCH_KI</t>
        </is>
      </c>
      <c r="C432" s="26" t="inlineStr">
        <is>
          <t>31</t>
        </is>
      </c>
      <c r="D432" s="26" t="inlineStr">
        <is>
          <t>16</t>
        </is>
      </c>
      <c r="E432" s="27" t="inlineStr">
        <is>
          <t>RESERVED</t>
        </is>
      </c>
      <c r="F432" s="28" t="inlineStr">
        <is>
          <t>RW</t>
        </is>
      </c>
      <c r="G432" s="29" t="inlineStr">
        <is>
          <t>Reserved.</t>
        </is>
      </c>
    </row>
    <row r="433" ht="32" customHeight="1">
      <c r="A433" s="30" t="inlineStr">
        <is>
          <t>0x5038</t>
        </is>
      </c>
      <c r="B433" s="31" t="inlineStr">
        <is>
          <t>PID_PITCH_KI</t>
        </is>
      </c>
      <c r="C433" s="32" t="inlineStr">
        <is>
          <t>15</t>
        </is>
      </c>
      <c r="D433" s="32" t="inlineStr">
        <is>
          <t>0</t>
        </is>
      </c>
      <c r="E433" s="33" t="inlineStr">
        <is>
          <t>KI</t>
        </is>
      </c>
      <c r="F433" s="34" t="inlineStr">
        <is>
          <t>RW</t>
        </is>
      </c>
      <c r="G433" s="35" t="inlineStr">
        <is>
          <t>Pitch-rate Ki Q4.12.</t>
        </is>
      </c>
    </row>
    <row r="434" ht="32" customHeight="1">
      <c r="A434" s="5" t="inlineStr">
        <is>
          <t>0x503C</t>
        </is>
      </c>
      <c r="B434" s="25" t="inlineStr">
        <is>
          <t>PID_PITCH_KD</t>
        </is>
      </c>
      <c r="C434" s="26" t="inlineStr">
        <is>
          <t>31</t>
        </is>
      </c>
      <c r="D434" s="26" t="inlineStr">
        <is>
          <t>16</t>
        </is>
      </c>
      <c r="E434" s="27" t="inlineStr">
        <is>
          <t>RESERVED</t>
        </is>
      </c>
      <c r="F434" s="28" t="inlineStr">
        <is>
          <t>RW</t>
        </is>
      </c>
      <c r="G434" s="29" t="inlineStr">
        <is>
          <t>Reserved.</t>
        </is>
      </c>
    </row>
    <row r="435" ht="32" customHeight="1">
      <c r="A435" s="30" t="inlineStr">
        <is>
          <t>0x503C</t>
        </is>
      </c>
      <c r="B435" s="31" t="inlineStr">
        <is>
          <t>PID_PITCH_KD</t>
        </is>
      </c>
      <c r="C435" s="32" t="inlineStr">
        <is>
          <t>15</t>
        </is>
      </c>
      <c r="D435" s="32" t="inlineStr">
        <is>
          <t>0</t>
        </is>
      </c>
      <c r="E435" s="33" t="inlineStr">
        <is>
          <t>KD</t>
        </is>
      </c>
      <c r="F435" s="34" t="inlineStr">
        <is>
          <t>RW</t>
        </is>
      </c>
      <c r="G435" s="35" t="inlineStr">
        <is>
          <t>Pitch-rate Kd Q4.12.</t>
        </is>
      </c>
    </row>
    <row r="436" ht="32" customHeight="1">
      <c r="A436" s="5" t="inlineStr">
        <is>
          <t>0x5040</t>
        </is>
      </c>
      <c r="B436" s="25" t="inlineStr">
        <is>
          <t>PID_YAW_KP</t>
        </is>
      </c>
      <c r="C436" s="26" t="inlineStr">
        <is>
          <t>31</t>
        </is>
      </c>
      <c r="D436" s="26" t="inlineStr">
        <is>
          <t>16</t>
        </is>
      </c>
      <c r="E436" s="27" t="inlineStr">
        <is>
          <t>RESERVED</t>
        </is>
      </c>
      <c r="F436" s="28" t="inlineStr">
        <is>
          <t>RW</t>
        </is>
      </c>
      <c r="G436" s="29" t="inlineStr">
        <is>
          <t>Reserved.</t>
        </is>
      </c>
    </row>
    <row r="437" ht="32" customHeight="1">
      <c r="A437" s="30" t="inlineStr">
        <is>
          <t>0x5040</t>
        </is>
      </c>
      <c r="B437" s="31" t="inlineStr">
        <is>
          <t>PID_YAW_KP</t>
        </is>
      </c>
      <c r="C437" s="32" t="inlineStr">
        <is>
          <t>15</t>
        </is>
      </c>
      <c r="D437" s="32" t="inlineStr">
        <is>
          <t>0</t>
        </is>
      </c>
      <c r="E437" s="33" t="inlineStr">
        <is>
          <t>KP</t>
        </is>
      </c>
      <c r="F437" s="34" t="inlineStr">
        <is>
          <t>RW</t>
        </is>
      </c>
      <c r="G437" s="35" t="inlineStr">
        <is>
          <t>Yaw-rate Kp Q4.12.</t>
        </is>
      </c>
    </row>
    <row r="438" ht="32" customHeight="1">
      <c r="A438" s="5" t="inlineStr">
        <is>
          <t>0x5044</t>
        </is>
      </c>
      <c r="B438" s="25" t="inlineStr">
        <is>
          <t>PID_YAW_KI</t>
        </is>
      </c>
      <c r="C438" s="26" t="inlineStr">
        <is>
          <t>31</t>
        </is>
      </c>
      <c r="D438" s="26" t="inlineStr">
        <is>
          <t>16</t>
        </is>
      </c>
      <c r="E438" s="27" t="inlineStr">
        <is>
          <t>RESERVED</t>
        </is>
      </c>
      <c r="F438" s="28" t="inlineStr">
        <is>
          <t>RW</t>
        </is>
      </c>
      <c r="G438" s="29" t="inlineStr">
        <is>
          <t>Reserved.</t>
        </is>
      </c>
    </row>
    <row r="439" ht="32" customHeight="1">
      <c r="A439" s="30" t="inlineStr">
        <is>
          <t>0x5044</t>
        </is>
      </c>
      <c r="B439" s="31" t="inlineStr">
        <is>
          <t>PID_YAW_KI</t>
        </is>
      </c>
      <c r="C439" s="32" t="inlineStr">
        <is>
          <t>15</t>
        </is>
      </c>
      <c r="D439" s="32" t="inlineStr">
        <is>
          <t>0</t>
        </is>
      </c>
      <c r="E439" s="33" t="inlineStr">
        <is>
          <t>KI</t>
        </is>
      </c>
      <c r="F439" s="34" t="inlineStr">
        <is>
          <t>RW</t>
        </is>
      </c>
      <c r="G439" s="35" t="inlineStr">
        <is>
          <t>Yaw-rate Ki Q4.12.</t>
        </is>
      </c>
    </row>
    <row r="440" ht="32" customHeight="1">
      <c r="A440" s="5" t="inlineStr">
        <is>
          <t>0x5048</t>
        </is>
      </c>
      <c r="B440" s="25" t="inlineStr">
        <is>
          <t>PID_YAW_KD</t>
        </is>
      </c>
      <c r="C440" s="26" t="inlineStr">
        <is>
          <t>31</t>
        </is>
      </c>
      <c r="D440" s="26" t="inlineStr">
        <is>
          <t>16</t>
        </is>
      </c>
      <c r="E440" s="27" t="inlineStr">
        <is>
          <t>RESERVED</t>
        </is>
      </c>
      <c r="F440" s="28" t="inlineStr">
        <is>
          <t>RW</t>
        </is>
      </c>
      <c r="G440" s="29" t="inlineStr">
        <is>
          <t>Reserved.</t>
        </is>
      </c>
    </row>
    <row r="441" ht="32" customHeight="1">
      <c r="A441" s="30" t="inlineStr">
        <is>
          <t>0x5048</t>
        </is>
      </c>
      <c r="B441" s="31" t="inlineStr">
        <is>
          <t>PID_YAW_KD</t>
        </is>
      </c>
      <c r="C441" s="32" t="inlineStr">
        <is>
          <t>15</t>
        </is>
      </c>
      <c r="D441" s="32" t="inlineStr">
        <is>
          <t>0</t>
        </is>
      </c>
      <c r="E441" s="33" t="inlineStr">
        <is>
          <t>KD</t>
        </is>
      </c>
      <c r="F441" s="34" t="inlineStr">
        <is>
          <t>RW</t>
        </is>
      </c>
      <c r="G441" s="35" t="inlineStr">
        <is>
          <t>Yaw-rate Kd Q4.12.</t>
        </is>
      </c>
    </row>
    <row r="442" ht="32" customHeight="1">
      <c r="A442" s="5" t="inlineStr">
        <is>
          <t>0x504C</t>
        </is>
      </c>
      <c r="B442" s="25" t="inlineStr">
        <is>
          <t>PID_ALT_KP</t>
        </is>
      </c>
      <c r="C442" s="26" t="inlineStr">
        <is>
          <t>31</t>
        </is>
      </c>
      <c r="D442" s="26" t="inlineStr">
        <is>
          <t>16</t>
        </is>
      </c>
      <c r="E442" s="27" t="inlineStr">
        <is>
          <t>RESERVED</t>
        </is>
      </c>
      <c r="F442" s="28" t="inlineStr">
        <is>
          <t>RW</t>
        </is>
      </c>
      <c r="G442" s="29" t="inlineStr">
        <is>
          <t>Reserved.</t>
        </is>
      </c>
    </row>
    <row r="443" ht="32" customHeight="1">
      <c r="A443" s="30" t="inlineStr">
        <is>
          <t>0x504C</t>
        </is>
      </c>
      <c r="B443" s="31" t="inlineStr">
        <is>
          <t>PID_ALT_KP</t>
        </is>
      </c>
      <c r="C443" s="32" t="inlineStr">
        <is>
          <t>15</t>
        </is>
      </c>
      <c r="D443" s="32" t="inlineStr">
        <is>
          <t>0</t>
        </is>
      </c>
      <c r="E443" s="33" t="inlineStr">
        <is>
          <t>KP</t>
        </is>
      </c>
      <c r="F443" s="34" t="inlineStr">
        <is>
          <t>RW</t>
        </is>
      </c>
      <c r="G443" s="35" t="inlineStr">
        <is>
          <t>Alt Kp Q4.12.</t>
        </is>
      </c>
    </row>
    <row r="444" ht="32" customHeight="1">
      <c r="A444" s="5" t="inlineStr">
        <is>
          <t>0x5050</t>
        </is>
      </c>
      <c r="B444" s="25" t="inlineStr">
        <is>
          <t>PID_ALT_KI</t>
        </is>
      </c>
      <c r="C444" s="26" t="inlineStr">
        <is>
          <t>31</t>
        </is>
      </c>
      <c r="D444" s="26" t="inlineStr">
        <is>
          <t>16</t>
        </is>
      </c>
      <c r="E444" s="27" t="inlineStr">
        <is>
          <t>RESERVED</t>
        </is>
      </c>
      <c r="F444" s="28" t="inlineStr">
        <is>
          <t>RW</t>
        </is>
      </c>
      <c r="G444" s="29" t="inlineStr">
        <is>
          <t>Reserved.</t>
        </is>
      </c>
    </row>
    <row r="445" ht="32" customHeight="1">
      <c r="A445" s="30" t="inlineStr">
        <is>
          <t>0x5050</t>
        </is>
      </c>
      <c r="B445" s="31" t="inlineStr">
        <is>
          <t>PID_ALT_KI</t>
        </is>
      </c>
      <c r="C445" s="32" t="inlineStr">
        <is>
          <t>15</t>
        </is>
      </c>
      <c r="D445" s="32" t="inlineStr">
        <is>
          <t>0</t>
        </is>
      </c>
      <c r="E445" s="33" t="inlineStr">
        <is>
          <t>KI</t>
        </is>
      </c>
      <c r="F445" s="34" t="inlineStr">
        <is>
          <t>RW</t>
        </is>
      </c>
      <c r="G445" s="35" t="inlineStr">
        <is>
          <t>Alt Ki Q4.12.</t>
        </is>
      </c>
    </row>
    <row r="446" ht="32" customHeight="1">
      <c r="A446" s="5" t="inlineStr">
        <is>
          <t>0x5054</t>
        </is>
      </c>
      <c r="B446" s="25" t="inlineStr">
        <is>
          <t>PID_ALT_KD</t>
        </is>
      </c>
      <c r="C446" s="26" t="inlineStr">
        <is>
          <t>31</t>
        </is>
      </c>
      <c r="D446" s="26" t="inlineStr">
        <is>
          <t>16</t>
        </is>
      </c>
      <c r="E446" s="27" t="inlineStr">
        <is>
          <t>RESERVED</t>
        </is>
      </c>
      <c r="F446" s="28" t="inlineStr">
        <is>
          <t>RW</t>
        </is>
      </c>
      <c r="G446" s="29" t="inlineStr">
        <is>
          <t>Reserved.</t>
        </is>
      </c>
    </row>
    <row r="447" ht="32" customHeight="1">
      <c r="A447" s="30" t="inlineStr">
        <is>
          <t>0x5054</t>
        </is>
      </c>
      <c r="B447" s="31" t="inlineStr">
        <is>
          <t>PID_ALT_KD</t>
        </is>
      </c>
      <c r="C447" s="32" t="inlineStr">
        <is>
          <t>15</t>
        </is>
      </c>
      <c r="D447" s="32" t="inlineStr">
        <is>
          <t>0</t>
        </is>
      </c>
      <c r="E447" s="33" t="inlineStr">
        <is>
          <t>KD</t>
        </is>
      </c>
      <c r="F447" s="34" t="inlineStr">
        <is>
          <t>RW</t>
        </is>
      </c>
      <c r="G447" s="35" t="inlineStr">
        <is>
          <t>Alt Kd Q4.12.</t>
        </is>
      </c>
    </row>
    <row r="448" ht="32" customHeight="1">
      <c r="A448" s="5" t="inlineStr">
        <is>
          <t>0x5058</t>
        </is>
      </c>
      <c r="B448" s="25" t="inlineStr">
        <is>
          <t>PID_VEL_KP</t>
        </is>
      </c>
      <c r="C448" s="26" t="inlineStr">
        <is>
          <t>31</t>
        </is>
      </c>
      <c r="D448" s="26" t="inlineStr">
        <is>
          <t>16</t>
        </is>
      </c>
      <c r="E448" s="27" t="inlineStr">
        <is>
          <t>RESERVED</t>
        </is>
      </c>
      <c r="F448" s="28" t="inlineStr">
        <is>
          <t>RW</t>
        </is>
      </c>
      <c r="G448" s="29" t="inlineStr">
        <is>
          <t>Reserved.</t>
        </is>
      </c>
    </row>
    <row r="449" ht="32" customHeight="1">
      <c r="A449" s="30" t="inlineStr">
        <is>
          <t>0x5058</t>
        </is>
      </c>
      <c r="B449" s="31" t="inlineStr">
        <is>
          <t>PID_VEL_KP</t>
        </is>
      </c>
      <c r="C449" s="32" t="inlineStr">
        <is>
          <t>15</t>
        </is>
      </c>
      <c r="D449" s="32" t="inlineStr">
        <is>
          <t>0</t>
        </is>
      </c>
      <c r="E449" s="33" t="inlineStr">
        <is>
          <t>KP</t>
        </is>
      </c>
      <c r="F449" s="34" t="inlineStr">
        <is>
          <t>RW</t>
        </is>
      </c>
      <c r="G449" s="35" t="inlineStr">
        <is>
          <t>Vel Kp Q4.12.</t>
        </is>
      </c>
    </row>
    <row r="450" ht="32" customHeight="1">
      <c r="A450" s="5" t="inlineStr">
        <is>
          <t>0x505C</t>
        </is>
      </c>
      <c r="B450" s="25" t="inlineStr">
        <is>
          <t>PID_VEL_KI</t>
        </is>
      </c>
      <c r="C450" s="26" t="inlineStr">
        <is>
          <t>31</t>
        </is>
      </c>
      <c r="D450" s="26" t="inlineStr">
        <is>
          <t>16</t>
        </is>
      </c>
      <c r="E450" s="27" t="inlineStr">
        <is>
          <t>RESERVED</t>
        </is>
      </c>
      <c r="F450" s="28" t="inlineStr">
        <is>
          <t>RW</t>
        </is>
      </c>
      <c r="G450" s="29" t="inlineStr">
        <is>
          <t>Reserved.</t>
        </is>
      </c>
    </row>
    <row r="451" ht="32" customHeight="1">
      <c r="A451" s="30" t="inlineStr">
        <is>
          <t>0x505C</t>
        </is>
      </c>
      <c r="B451" s="31" t="inlineStr">
        <is>
          <t>PID_VEL_KI</t>
        </is>
      </c>
      <c r="C451" s="32" t="inlineStr">
        <is>
          <t>15</t>
        </is>
      </c>
      <c r="D451" s="32" t="inlineStr">
        <is>
          <t>0</t>
        </is>
      </c>
      <c r="E451" s="33" t="inlineStr">
        <is>
          <t>KI</t>
        </is>
      </c>
      <c r="F451" s="34" t="inlineStr">
        <is>
          <t>RW</t>
        </is>
      </c>
      <c r="G451" s="35" t="inlineStr">
        <is>
          <t>Vel Ki Q4.12.</t>
        </is>
      </c>
    </row>
    <row r="452" ht="32" customHeight="1">
      <c r="A452" s="5" t="inlineStr">
        <is>
          <t>0x5060</t>
        </is>
      </c>
      <c r="B452" s="25" t="inlineStr">
        <is>
          <t>NAV_FENCE_R</t>
        </is>
      </c>
      <c r="C452" s="26" t="inlineStr">
        <is>
          <t>31</t>
        </is>
      </c>
      <c r="D452" s="26" t="inlineStr">
        <is>
          <t>16</t>
        </is>
      </c>
      <c r="E452" s="27" t="inlineStr">
        <is>
          <t>RESERVED</t>
        </is>
      </c>
      <c r="F452" s="28" t="inlineStr">
        <is>
          <t>RW</t>
        </is>
      </c>
      <c r="G452" s="29" t="inlineStr">
        <is>
          <t>Reserved.</t>
        </is>
      </c>
    </row>
    <row r="453" ht="32" customHeight="1">
      <c r="A453" s="30" t="inlineStr">
        <is>
          <t>0x5060</t>
        </is>
      </c>
      <c r="B453" s="31" t="inlineStr">
        <is>
          <t>NAV_FENCE_R</t>
        </is>
      </c>
      <c r="C453" s="32" t="inlineStr">
        <is>
          <t>15</t>
        </is>
      </c>
      <c r="D453" s="32" t="inlineStr">
        <is>
          <t>0</t>
        </is>
      </c>
      <c r="E453" s="33" t="inlineStr">
        <is>
          <t>RADIUS_M</t>
        </is>
      </c>
      <c r="F453" s="34" t="inlineStr">
        <is>
          <t>RW</t>
        </is>
      </c>
      <c r="G453" s="35" t="inlineStr">
        <is>
          <t>Fence radius metres. Default 500.</t>
        </is>
      </c>
    </row>
    <row r="454" ht="32" customHeight="1">
      <c r="A454" s="5" t="inlineStr">
        <is>
          <t>0x5064</t>
        </is>
      </c>
      <c r="B454" s="25" t="inlineStr">
        <is>
          <t>NAV_FENCE_ALT</t>
        </is>
      </c>
      <c r="C454" s="26" t="inlineStr">
        <is>
          <t>31</t>
        </is>
      </c>
      <c r="D454" s="26" t="inlineStr">
        <is>
          <t>16</t>
        </is>
      </c>
      <c r="E454" s="27" t="inlineStr">
        <is>
          <t>RESERVED</t>
        </is>
      </c>
      <c r="F454" s="28" t="inlineStr">
        <is>
          <t>RW</t>
        </is>
      </c>
      <c r="G454" s="29" t="inlineStr">
        <is>
          <t>Reserved.</t>
        </is>
      </c>
    </row>
    <row r="455" ht="32" customHeight="1">
      <c r="A455" s="30" t="inlineStr">
        <is>
          <t>0x5064</t>
        </is>
      </c>
      <c r="B455" s="31" t="inlineStr">
        <is>
          <t>NAV_FENCE_ALT</t>
        </is>
      </c>
      <c r="C455" s="32" t="inlineStr">
        <is>
          <t>15</t>
        </is>
      </c>
      <c r="D455" s="32" t="inlineStr">
        <is>
          <t>0</t>
        </is>
      </c>
      <c r="E455" s="33" t="inlineStr">
        <is>
          <t>ALT_M</t>
        </is>
      </c>
      <c r="F455" s="34" t="inlineStr">
        <is>
          <t>RW</t>
        </is>
      </c>
      <c r="G455" s="35" t="inlineStr">
        <is>
          <t>Max altitude metres. Default 200.</t>
        </is>
      </c>
    </row>
    <row r="456" ht="32" customHeight="1">
      <c r="A456" s="5" t="inlineStr">
        <is>
          <t>0x5068</t>
        </is>
      </c>
      <c r="B456" s="25" t="inlineStr">
        <is>
          <t>NAV_TKOFF_ALT</t>
        </is>
      </c>
      <c r="C456" s="26" t="inlineStr">
        <is>
          <t>31</t>
        </is>
      </c>
      <c r="D456" s="26" t="inlineStr">
        <is>
          <t>8</t>
        </is>
      </c>
      <c r="E456" s="27" t="inlineStr">
        <is>
          <t>RESERVED</t>
        </is>
      </c>
      <c r="F456" s="28" t="inlineStr">
        <is>
          <t>RW</t>
        </is>
      </c>
      <c r="G456" s="29" t="inlineStr">
        <is>
          <t>Reserved.</t>
        </is>
      </c>
    </row>
    <row r="457" ht="32" customHeight="1">
      <c r="A457" s="30" t="inlineStr">
        <is>
          <t>0x5068</t>
        </is>
      </c>
      <c r="B457" s="31" t="inlineStr">
        <is>
          <t>NAV_TKOFF_ALT</t>
        </is>
      </c>
      <c r="C457" s="32" t="inlineStr">
        <is>
          <t>7</t>
        </is>
      </c>
      <c r="D457" s="32" t="inlineStr">
        <is>
          <t>0</t>
        </is>
      </c>
      <c r="E457" s="33" t="inlineStr">
        <is>
          <t>ALT_M</t>
        </is>
      </c>
      <c r="F457" s="34" t="inlineStr">
        <is>
          <t>RW</t>
        </is>
      </c>
      <c r="G457" s="35" t="inlineStr">
        <is>
          <t>Takeoff alt metres. Default 10.</t>
        </is>
      </c>
    </row>
    <row r="458" ht="32" customHeight="1">
      <c r="A458" s="5" t="inlineStr">
        <is>
          <t>0x506C</t>
        </is>
      </c>
      <c r="B458" s="25" t="inlineStr">
        <is>
          <t>NAV_WP_RADIUS</t>
        </is>
      </c>
      <c r="C458" s="26" t="inlineStr">
        <is>
          <t>31</t>
        </is>
      </c>
      <c r="D458" s="26" t="inlineStr">
        <is>
          <t>8</t>
        </is>
      </c>
      <c r="E458" s="27" t="inlineStr">
        <is>
          <t>RESERVED</t>
        </is>
      </c>
      <c r="F458" s="28" t="inlineStr">
        <is>
          <t>RW</t>
        </is>
      </c>
      <c r="G458" s="29" t="inlineStr">
        <is>
          <t>Reserved.</t>
        </is>
      </c>
    </row>
    <row r="459" ht="32" customHeight="1">
      <c r="A459" s="30" t="inlineStr">
        <is>
          <t>0x506C</t>
        </is>
      </c>
      <c r="B459" s="31" t="inlineStr">
        <is>
          <t>NAV_WP_RADIUS</t>
        </is>
      </c>
      <c r="C459" s="32" t="inlineStr">
        <is>
          <t>7</t>
        </is>
      </c>
      <c r="D459" s="32" t="inlineStr">
        <is>
          <t>0</t>
        </is>
      </c>
      <c r="E459" s="33" t="inlineStr">
        <is>
          <t>RADIUS_M</t>
        </is>
      </c>
      <c r="F459" s="34" t="inlineStr">
        <is>
          <t>RW</t>
        </is>
      </c>
      <c r="G459" s="35" t="inlineStr">
        <is>
          <t>WP capture radius. Default 2 m.</t>
        </is>
      </c>
    </row>
    <row r="460" ht="32" customHeight="1">
      <c r="A460" s="5" t="inlineStr">
        <is>
          <t>0x5070</t>
        </is>
      </c>
      <c r="B460" s="25" t="inlineStr">
        <is>
          <t>NAV_RTL_ALT</t>
        </is>
      </c>
      <c r="C460" s="26" t="inlineStr">
        <is>
          <t>31</t>
        </is>
      </c>
      <c r="D460" s="26" t="inlineStr">
        <is>
          <t>8</t>
        </is>
      </c>
      <c r="E460" s="27" t="inlineStr">
        <is>
          <t>RESERVED</t>
        </is>
      </c>
      <c r="F460" s="28" t="inlineStr">
        <is>
          <t>RW</t>
        </is>
      </c>
      <c r="G460" s="29" t="inlineStr">
        <is>
          <t>Reserved.</t>
        </is>
      </c>
    </row>
    <row r="461" ht="32" customHeight="1">
      <c r="A461" s="30" t="inlineStr">
        <is>
          <t>0x5070</t>
        </is>
      </c>
      <c r="B461" s="31" t="inlineStr">
        <is>
          <t>NAV_RTL_ALT</t>
        </is>
      </c>
      <c r="C461" s="32" t="inlineStr">
        <is>
          <t>7</t>
        </is>
      </c>
      <c r="D461" s="32" t="inlineStr">
        <is>
          <t>0</t>
        </is>
      </c>
      <c r="E461" s="33" t="inlineStr">
        <is>
          <t>RTL_ALT_M</t>
        </is>
      </c>
      <c r="F461" s="34" t="inlineStr">
        <is>
          <t>RW</t>
        </is>
      </c>
      <c r="G461" s="35" t="inlineStr">
        <is>
          <t>RTL alt metres. Default 50.</t>
        </is>
      </c>
    </row>
    <row r="462" ht="32" customHeight="1">
      <c r="A462" s="5" t="inlineStr">
        <is>
          <t>0x5074</t>
        </is>
      </c>
      <c r="B462" s="25" t="inlineStr">
        <is>
          <t>MAV_SYSID</t>
        </is>
      </c>
      <c r="C462" s="26" t="inlineStr">
        <is>
          <t>31</t>
        </is>
      </c>
      <c r="D462" s="26" t="inlineStr">
        <is>
          <t>16</t>
        </is>
      </c>
      <c r="E462" s="27" t="inlineStr">
        <is>
          <t>RESERVED</t>
        </is>
      </c>
      <c r="F462" s="28" t="inlineStr">
        <is>
          <t>RW</t>
        </is>
      </c>
      <c r="G462" s="29" t="inlineStr">
        <is>
          <t>Reserved.</t>
        </is>
      </c>
    </row>
    <row r="463" ht="32" customHeight="1">
      <c r="A463" s="30" t="inlineStr">
        <is>
          <t>0x5074</t>
        </is>
      </c>
      <c r="B463" s="31" t="inlineStr">
        <is>
          <t>MAV_SYSID</t>
        </is>
      </c>
      <c r="C463" s="32" t="inlineStr">
        <is>
          <t>15</t>
        </is>
      </c>
      <c r="D463" s="32" t="inlineStr">
        <is>
          <t>8</t>
        </is>
      </c>
      <c r="E463" s="33" t="inlineStr">
        <is>
          <t>SYSID</t>
        </is>
      </c>
      <c r="F463" s="34" t="inlineStr">
        <is>
          <t>RW</t>
        </is>
      </c>
      <c r="G463" s="35" t="inlineStr">
        <is>
          <t>MAVLink System ID. Must be unique per vehicle.</t>
        </is>
      </c>
    </row>
    <row r="464" ht="32" customHeight="1">
      <c r="A464" s="24" t="inlineStr">
        <is>
          <t>0x5074</t>
        </is>
      </c>
      <c r="B464" s="36" t="inlineStr">
        <is>
          <t>MAV_SYSID</t>
        </is>
      </c>
      <c r="C464" s="37" t="inlineStr">
        <is>
          <t>7</t>
        </is>
      </c>
      <c r="D464" s="37" t="inlineStr">
        <is>
          <t>0</t>
        </is>
      </c>
      <c r="E464" s="38" t="inlineStr">
        <is>
          <t>COMPID</t>
        </is>
      </c>
      <c r="F464" s="39" t="inlineStr">
        <is>
          <t>RW</t>
        </is>
      </c>
      <c r="G464" s="40" t="inlineStr">
        <is>
          <t>MAVLink Component ID. Default 1 (autopilot).</t>
        </is>
      </c>
    </row>
    <row r="465" ht="32" customHeight="1">
      <c r="A465" s="5" t="inlineStr">
        <is>
          <t>0x5078</t>
        </is>
      </c>
      <c r="B465" s="25" t="inlineStr">
        <is>
          <t>MOTOR_PWM_MIN</t>
        </is>
      </c>
      <c r="C465" s="26" t="inlineStr">
        <is>
          <t>31</t>
        </is>
      </c>
      <c r="D465" s="26" t="inlineStr">
        <is>
          <t>16</t>
        </is>
      </c>
      <c r="E465" s="27" t="inlineStr">
        <is>
          <t>RESERVED</t>
        </is>
      </c>
      <c r="F465" s="28" t="inlineStr">
        <is>
          <t>RW</t>
        </is>
      </c>
      <c r="G465" s="29" t="inlineStr">
        <is>
          <t>Reserved.</t>
        </is>
      </c>
    </row>
    <row r="466" ht="32" customHeight="1">
      <c r="A466" s="30" t="inlineStr">
        <is>
          <t>0x5078</t>
        </is>
      </c>
      <c r="B466" s="31" t="inlineStr">
        <is>
          <t>MOTOR_PWM_MIN</t>
        </is>
      </c>
      <c r="C466" s="32" t="inlineStr">
        <is>
          <t>15</t>
        </is>
      </c>
      <c r="D466" s="32" t="inlineStr">
        <is>
          <t>0</t>
        </is>
      </c>
      <c r="E466" s="33" t="inlineStr">
        <is>
          <t>PWM_MIN_US</t>
        </is>
      </c>
      <c r="F466" s="34" t="inlineStr">
        <is>
          <t>RW</t>
        </is>
      </c>
      <c r="G466" s="35" t="inlineStr">
        <is>
          <t>Min pulse µs. Default 1000.</t>
        </is>
      </c>
    </row>
    <row r="467" ht="32" customHeight="1">
      <c r="A467" s="5" t="inlineStr">
        <is>
          <t>0x507C</t>
        </is>
      </c>
      <c r="B467" s="25" t="inlineStr">
        <is>
          <t>MOTOR_PWM_MAX</t>
        </is>
      </c>
      <c r="C467" s="26" t="inlineStr">
        <is>
          <t>31</t>
        </is>
      </c>
      <c r="D467" s="26" t="inlineStr">
        <is>
          <t>16</t>
        </is>
      </c>
      <c r="E467" s="27" t="inlineStr">
        <is>
          <t>RESERVED</t>
        </is>
      </c>
      <c r="F467" s="28" t="inlineStr">
        <is>
          <t>RW</t>
        </is>
      </c>
      <c r="G467" s="29" t="inlineStr">
        <is>
          <t>Reserved.</t>
        </is>
      </c>
    </row>
    <row r="468" ht="32" customHeight="1">
      <c r="A468" s="30" t="inlineStr">
        <is>
          <t>0x507C</t>
        </is>
      </c>
      <c r="B468" s="31" t="inlineStr">
        <is>
          <t>MOTOR_PWM_MAX</t>
        </is>
      </c>
      <c r="C468" s="32" t="inlineStr">
        <is>
          <t>15</t>
        </is>
      </c>
      <c r="D468" s="32" t="inlineStr">
        <is>
          <t>0</t>
        </is>
      </c>
      <c r="E468" s="33" t="inlineStr">
        <is>
          <t>PWM_MAX_US</t>
        </is>
      </c>
      <c r="F468" s="34" t="inlineStr">
        <is>
          <t>RW</t>
        </is>
      </c>
      <c r="G468" s="35" t="inlineStr">
        <is>
          <t>Max pulse µs. Default 2000.</t>
        </is>
      </c>
    </row>
    <row r="469" ht="32" customHeight="1">
      <c r="A469" s="5" t="inlineStr">
        <is>
          <t>0x5080</t>
        </is>
      </c>
      <c r="B469" s="25" t="inlineStr">
        <is>
          <t>MOTOR_FREQ</t>
        </is>
      </c>
      <c r="C469" s="26" t="inlineStr">
        <is>
          <t>31</t>
        </is>
      </c>
      <c r="D469" s="26" t="inlineStr">
        <is>
          <t>16</t>
        </is>
      </c>
      <c r="E469" s="27" t="inlineStr">
        <is>
          <t>RESERVED</t>
        </is>
      </c>
      <c r="F469" s="28" t="inlineStr">
        <is>
          <t>RW</t>
        </is>
      </c>
      <c r="G469" s="29" t="inlineStr">
        <is>
          <t>Reserved.</t>
        </is>
      </c>
    </row>
    <row r="470" ht="32" customHeight="1">
      <c r="A470" s="30" t="inlineStr">
        <is>
          <t>0x5080</t>
        </is>
      </c>
      <c r="B470" s="31" t="inlineStr">
        <is>
          <t>MOTOR_FREQ</t>
        </is>
      </c>
      <c r="C470" s="32" t="inlineStr">
        <is>
          <t>15</t>
        </is>
      </c>
      <c r="D470" s="32" t="inlineStr">
        <is>
          <t>0</t>
        </is>
      </c>
      <c r="E470" s="33" t="inlineStr">
        <is>
          <t>FREQ_HZ</t>
        </is>
      </c>
      <c r="F470" s="34" t="inlineStr">
        <is>
          <t>RW</t>
        </is>
      </c>
      <c r="G470" s="35" t="inlineStr">
        <is>
          <t>PWM freq Hz. Default 400.</t>
        </is>
      </c>
    </row>
    <row r="471" ht="32" customHeight="1">
      <c r="A471" s="5" t="inlineStr">
        <is>
          <t>0x5084</t>
        </is>
      </c>
      <c r="B471" s="25" t="inlineStr">
        <is>
          <t>DBG_GPS_CNT</t>
        </is>
      </c>
      <c r="C471" s="26" t="inlineStr">
        <is>
          <t>31</t>
        </is>
      </c>
      <c r="D471" s="26" t="inlineStr">
        <is>
          <t>0</t>
        </is>
      </c>
      <c r="E471" s="27" t="inlineStr">
        <is>
          <t>GPS_CNT</t>
        </is>
      </c>
      <c r="F471" s="62" t="inlineStr">
        <is>
          <t>RO</t>
        </is>
      </c>
      <c r="G471" s="29" t="inlineStr">
        <is>
          <t>GPS fix count since reset.</t>
        </is>
      </c>
    </row>
    <row r="472" ht="32" customHeight="1">
      <c r="A472" s="5" t="inlineStr">
        <is>
          <t>0x5088</t>
        </is>
      </c>
      <c r="B472" s="25" t="inlineStr">
        <is>
          <t>DBG_PID_CNT</t>
        </is>
      </c>
      <c r="C472" s="26" t="inlineStr">
        <is>
          <t>31</t>
        </is>
      </c>
      <c r="D472" s="26" t="inlineStr">
        <is>
          <t>0</t>
        </is>
      </c>
      <c r="E472" s="27" t="inlineStr">
        <is>
          <t>PID_CNT</t>
        </is>
      </c>
      <c r="F472" s="62" t="inlineStr">
        <is>
          <t>RO</t>
        </is>
      </c>
      <c r="G472" s="29" t="inlineStr">
        <is>
          <t>PID compute cycles since reset.</t>
        </is>
      </c>
    </row>
    <row r="473" ht="32" customHeight="1">
      <c r="A473" s="5" t="inlineStr">
        <is>
          <t>0x508C</t>
        </is>
      </c>
      <c r="B473" s="25" t="inlineStr">
        <is>
          <t>DBG_CA_EVTS</t>
        </is>
      </c>
      <c r="C473" s="26" t="inlineStr">
        <is>
          <t>31</t>
        </is>
      </c>
      <c r="D473" s="26" t="inlineStr">
        <is>
          <t>16</t>
        </is>
      </c>
      <c r="E473" s="27" t="inlineStr">
        <is>
          <t>CA_OVERRIDES</t>
        </is>
      </c>
      <c r="F473" s="62" t="inlineStr">
        <is>
          <t>RO</t>
        </is>
      </c>
      <c r="G473" s="29" t="inlineStr">
        <is>
          <t>CA override activations (threat detected).</t>
        </is>
      </c>
    </row>
    <row r="474" ht="32" customHeight="1">
      <c r="A474" s="30" t="inlineStr">
        <is>
          <t>0x508C</t>
        </is>
      </c>
      <c r="B474" s="31" t="inlineStr">
        <is>
          <t>DBG_CA_EVTS</t>
        </is>
      </c>
      <c r="C474" s="32" t="inlineStr">
        <is>
          <t>15</t>
        </is>
      </c>
      <c r="D474" s="32" t="inlineStr">
        <is>
          <t>0</t>
        </is>
      </c>
      <c r="E474" s="33" t="inlineStr">
        <is>
          <t>CA_CLEARS</t>
        </is>
      </c>
      <c r="F474" s="63" t="inlineStr">
        <is>
          <t>RO</t>
        </is>
      </c>
      <c r="G474" s="35" t="inlineStr">
        <is>
          <t>CA override clears (threat resolved).</t>
        </is>
      </c>
    </row>
    <row r="475" ht="32" customHeight="1">
      <c r="A475" s="5" t="inlineStr">
        <is>
          <t>0x5090</t>
        </is>
      </c>
      <c r="B475" s="25" t="inlineStr">
        <is>
          <t>DBG_FAULT_LOG</t>
        </is>
      </c>
      <c r="C475" s="26" t="inlineStr">
        <is>
          <t>31</t>
        </is>
      </c>
      <c r="D475" s="26" t="inlineStr">
        <is>
          <t>8</t>
        </is>
      </c>
      <c r="E475" s="27" t="inlineStr">
        <is>
          <t>RESERVED</t>
        </is>
      </c>
      <c r="F475" s="72" t="inlineStr">
        <is>
          <t>W1C</t>
        </is>
      </c>
      <c r="G475" s="29" t="inlineStr">
        <is>
          <t>Reserved.</t>
        </is>
      </c>
    </row>
    <row r="476" ht="32" customHeight="1">
      <c r="A476" s="30" t="inlineStr">
        <is>
          <t>0x5090</t>
        </is>
      </c>
      <c r="B476" s="31" t="inlineStr">
        <is>
          <t>DBG_FAULT_LOG</t>
        </is>
      </c>
      <c r="C476" s="32" t="inlineStr">
        <is>
          <t>7</t>
        </is>
      </c>
      <c r="D476" s="32" t="inlineStr">
        <is>
          <t>7</t>
        </is>
      </c>
      <c r="E476" s="33" t="inlineStr">
        <is>
          <t>MAV_TMO</t>
        </is>
      </c>
      <c r="F476" s="73" t="inlineStr">
        <is>
          <t>W1C</t>
        </is>
      </c>
      <c r="G476" s="35" t="inlineStr">
        <is>
          <t>MAVLink heartbeat timeout (&gt; 3 s).</t>
        </is>
      </c>
    </row>
    <row r="477" ht="32" customHeight="1">
      <c r="A477" s="24" t="inlineStr">
        <is>
          <t>0x5090</t>
        </is>
      </c>
      <c r="B477" s="36" t="inlineStr">
        <is>
          <t>DBG_FAULT_LOG</t>
        </is>
      </c>
      <c r="C477" s="37" t="inlineStr">
        <is>
          <t>6</t>
        </is>
      </c>
      <c r="D477" s="37" t="inlineStr">
        <is>
          <t>6</t>
        </is>
      </c>
      <c r="E477" s="38" t="inlineStr">
        <is>
          <t>GPS_LOST</t>
        </is>
      </c>
      <c r="F477" s="74" t="inlineStr">
        <is>
          <t>W1C</t>
        </is>
      </c>
      <c r="G477" s="40" t="inlineStr">
        <is>
          <t>GPS lock lost during flight.</t>
        </is>
      </c>
    </row>
    <row r="478" ht="32" customHeight="1">
      <c r="A478" s="41" t="inlineStr">
        <is>
          <t>0x5090</t>
        </is>
      </c>
      <c r="B478" s="42" t="inlineStr">
        <is>
          <t>DBG_FAULT_LOG</t>
        </is>
      </c>
      <c r="C478" s="43" t="inlineStr">
        <is>
          <t>5</t>
        </is>
      </c>
      <c r="D478" s="43" t="inlineStr">
        <is>
          <t>5</t>
        </is>
      </c>
      <c r="E478" s="44" t="inlineStr">
        <is>
          <t>BARO_FAIL</t>
        </is>
      </c>
      <c r="F478" s="75" t="inlineStr">
        <is>
          <t>W1C</t>
        </is>
      </c>
      <c r="G478" s="46" t="inlineStr">
        <is>
          <t>Barometer SPI/I2C timeout.</t>
        </is>
      </c>
    </row>
    <row r="479" ht="32" customHeight="1">
      <c r="A479" s="22" t="inlineStr">
        <is>
          <t>0x5090</t>
        </is>
      </c>
      <c r="B479" s="47" t="inlineStr">
        <is>
          <t>DBG_FAULT_LOG</t>
        </is>
      </c>
      <c r="C479" s="48" t="inlineStr">
        <is>
          <t>4</t>
        </is>
      </c>
      <c r="D479" s="48" t="inlineStr">
        <is>
          <t>4</t>
        </is>
      </c>
      <c r="E479" s="49" t="inlineStr">
        <is>
          <t>IMU_FAIL</t>
        </is>
      </c>
      <c r="F479" s="76" t="inlineStr">
        <is>
          <t>W1C</t>
        </is>
      </c>
      <c r="G479" s="51" t="inlineStr">
        <is>
          <t>IMU SPI timeout.</t>
        </is>
      </c>
    </row>
    <row r="480" ht="32" customHeight="1">
      <c r="A480" s="52" t="inlineStr">
        <is>
          <t>0x5090</t>
        </is>
      </c>
      <c r="B480" s="53" t="inlineStr">
        <is>
          <t>DBG_FAULT_LOG</t>
        </is>
      </c>
      <c r="C480" s="54" t="inlineStr">
        <is>
          <t>3</t>
        </is>
      </c>
      <c r="D480" s="54" t="inlineStr">
        <is>
          <t>3</t>
        </is>
      </c>
      <c r="E480" s="55" t="inlineStr">
        <is>
          <t>GEOFENCE</t>
        </is>
      </c>
      <c r="F480" s="77" t="inlineStr">
        <is>
          <t>W1C</t>
        </is>
      </c>
      <c r="G480" s="57" t="inlineStr">
        <is>
          <t>Geofence boundary breached.</t>
        </is>
      </c>
    </row>
    <row r="481" ht="32" customHeight="1">
      <c r="A481" s="58" t="inlineStr">
        <is>
          <t>0x5090</t>
        </is>
      </c>
      <c r="B481" s="59" t="inlineStr">
        <is>
          <t>DBG_FAULT_LOG</t>
        </is>
      </c>
      <c r="C481" s="60" t="inlineStr">
        <is>
          <t>2</t>
        </is>
      </c>
      <c r="D481" s="60" t="inlineStr">
        <is>
          <t>2</t>
        </is>
      </c>
      <c r="E481" s="16" t="inlineStr">
        <is>
          <t>MOTOR_OVR</t>
        </is>
      </c>
      <c r="F481" s="17" t="inlineStr">
        <is>
          <t>W1C</t>
        </is>
      </c>
      <c r="G481" s="20" t="inlineStr">
        <is>
          <t>All 4 motors at saturation simultaneously.</t>
        </is>
      </c>
    </row>
    <row r="482" ht="32" customHeight="1">
      <c r="A482" s="69" t="inlineStr">
        <is>
          <t>0x5090</t>
        </is>
      </c>
      <c r="B482" s="70" t="inlineStr">
        <is>
          <t>DBG_FAULT_LOG</t>
        </is>
      </c>
      <c r="C482" s="71" t="inlineStr">
        <is>
          <t>1</t>
        </is>
      </c>
      <c r="D482" s="71" t="inlineStr">
        <is>
          <t>1</t>
        </is>
      </c>
      <c r="E482" s="11" t="inlineStr">
        <is>
          <t>WDT_EXP</t>
        </is>
      </c>
      <c r="F482" s="78" t="inlineStr">
        <is>
          <t>W1C</t>
        </is>
      </c>
      <c r="G482" s="15" t="inlineStr">
        <is>
          <t>UAV watchdog expired.</t>
        </is>
      </c>
    </row>
    <row r="483" ht="32" customHeight="1">
      <c r="A483" s="5" t="inlineStr">
        <is>
          <t>0x5090</t>
        </is>
      </c>
      <c r="B483" s="25" t="inlineStr">
        <is>
          <t>DBG_FAULT_LOG</t>
        </is>
      </c>
      <c r="C483" s="26" t="inlineStr">
        <is>
          <t>0</t>
        </is>
      </c>
      <c r="D483" s="26" t="inlineStr">
        <is>
          <t>0</t>
        </is>
      </c>
      <c r="E483" s="27" t="inlineStr">
        <is>
          <t>EMERGENCY</t>
        </is>
      </c>
      <c r="F483" s="72" t="inlineStr">
        <is>
          <t>W1C</t>
        </is>
      </c>
      <c r="G483" s="29" t="inlineStr">
        <is>
          <t>Emergency state entered (manual clear required).</t>
        </is>
      </c>
    </row>
    <row r="484" ht="20" customHeight="1">
      <c r="A484" s="23" t="inlineStr">
        <is>
          <t>▶  Convergence Engine</t>
        </is>
      </c>
    </row>
    <row r="485" ht="32" customHeight="1">
      <c r="A485" s="5" t="inlineStr">
        <is>
          <t>0x6000</t>
        </is>
      </c>
      <c r="B485" s="25" t="inlineStr">
        <is>
          <t>CVG_CTRL</t>
        </is>
      </c>
      <c r="C485" s="26" t="inlineStr">
        <is>
          <t>31</t>
        </is>
      </c>
      <c r="D485" s="26" t="inlineStr">
        <is>
          <t>24</t>
        </is>
      </c>
      <c r="E485" s="27" t="inlineStr">
        <is>
          <t>RESERVED</t>
        </is>
      </c>
      <c r="F485" s="28" t="inlineStr">
        <is>
          <t>RW</t>
        </is>
      </c>
      <c r="G485" s="29" t="inlineStr">
        <is>
          <t>Reserved.</t>
        </is>
      </c>
    </row>
    <row r="486" ht="32" customHeight="1">
      <c r="A486" s="30" t="inlineStr">
        <is>
          <t>0x6000</t>
        </is>
      </c>
      <c r="B486" s="31" t="inlineStr">
        <is>
          <t>CVG_CTRL</t>
        </is>
      </c>
      <c r="C486" s="32" t="inlineStr">
        <is>
          <t>23</t>
        </is>
      </c>
      <c r="D486" s="32" t="inlineStr">
        <is>
          <t>20</t>
        </is>
      </c>
      <c r="E486" s="33" t="inlineStr">
        <is>
          <t>FORM_TYPE</t>
        </is>
      </c>
      <c r="F486" s="34" t="inlineStr">
        <is>
          <t>RW</t>
        </is>
      </c>
      <c r="G486" s="35" t="inlineStr">
        <is>
          <t>0=TRIANGLE 1=LINE 2=V_SHAPE 3=SQUARE</t>
        </is>
      </c>
    </row>
    <row r="487" ht="32" customHeight="1">
      <c r="A487" s="24" t="inlineStr">
        <is>
          <t>0x6000</t>
        </is>
      </c>
      <c r="B487" s="36" t="inlineStr">
        <is>
          <t>CVG_CTRL</t>
        </is>
      </c>
      <c r="C487" s="37" t="inlineStr">
        <is>
          <t>19</t>
        </is>
      </c>
      <c r="D487" s="37" t="inlineStr">
        <is>
          <t>16</t>
        </is>
      </c>
      <c r="E487" s="38" t="inlineStr">
        <is>
          <t>RESERVED2</t>
        </is>
      </c>
      <c r="F487" s="39" t="inlineStr">
        <is>
          <t>RW</t>
        </is>
      </c>
      <c r="G487" s="40" t="inlineStr">
        <is>
          <t>Reserved.</t>
        </is>
      </c>
    </row>
    <row r="488" ht="32" customHeight="1">
      <c r="A488" s="41" t="inlineStr">
        <is>
          <t>0x6000</t>
        </is>
      </c>
      <c r="B488" s="42" t="inlineStr">
        <is>
          <t>CVG_CTRL</t>
        </is>
      </c>
      <c r="C488" s="43" t="inlineStr">
        <is>
          <t>5</t>
        </is>
      </c>
      <c r="D488" s="43" t="inlineStr">
        <is>
          <t>5</t>
        </is>
      </c>
      <c r="E488" s="44" t="inlineStr">
        <is>
          <t>SCORE_EN</t>
        </is>
      </c>
      <c r="F488" s="45" t="inlineStr">
        <is>
          <t>RW</t>
        </is>
      </c>
      <c r="G488" s="46" t="inlineStr">
        <is>
          <t>1=Enable CVG_SCORE computation (1 Hz).</t>
        </is>
      </c>
    </row>
    <row r="489" ht="32" customHeight="1">
      <c r="A489" s="22" t="inlineStr">
        <is>
          <t>0x6000</t>
        </is>
      </c>
      <c r="B489" s="47" t="inlineStr">
        <is>
          <t>CVG_CTRL</t>
        </is>
      </c>
      <c r="C489" s="48" t="inlineStr">
        <is>
          <t>4</t>
        </is>
      </c>
      <c r="D489" s="48" t="inlineStr">
        <is>
          <t>4</t>
        </is>
      </c>
      <c r="E489" s="49" t="inlineStr">
        <is>
          <t>ARB_EN</t>
        </is>
      </c>
      <c r="F489" s="50" t="inlineStr">
        <is>
          <t>RW</t>
        </is>
      </c>
      <c r="G489" s="51" t="inlineStr">
        <is>
          <t>1=Enable TDM resource arbiter.</t>
        </is>
      </c>
    </row>
    <row r="490" ht="32" customHeight="1">
      <c r="A490" s="52" t="inlineStr">
        <is>
          <t>0x6000</t>
        </is>
      </c>
      <c r="B490" s="53" t="inlineStr">
        <is>
          <t>CVG_CTRL</t>
        </is>
      </c>
      <c r="C490" s="54" t="inlineStr">
        <is>
          <t>3</t>
        </is>
      </c>
      <c r="D490" s="54" t="inlineStr">
        <is>
          <t>3</t>
        </is>
      </c>
      <c r="E490" s="55" t="inlineStr">
        <is>
          <t>APF_EN</t>
        </is>
      </c>
      <c r="F490" s="56" t="inlineStr">
        <is>
          <t>RW</t>
        </is>
      </c>
      <c r="G490" s="57" t="inlineStr">
        <is>
          <t>1=Enable APF collision avoidance.</t>
        </is>
      </c>
    </row>
    <row r="491" ht="32" customHeight="1">
      <c r="A491" s="58" t="inlineStr">
        <is>
          <t>0x6000</t>
        </is>
      </c>
      <c r="B491" s="59" t="inlineStr">
        <is>
          <t>CVG_CTRL</t>
        </is>
      </c>
      <c r="C491" s="60" t="inlineStr">
        <is>
          <t>2</t>
        </is>
      </c>
      <c r="D491" s="60" t="inlineStr">
        <is>
          <t>2</t>
        </is>
      </c>
      <c r="E491" s="16" t="inlineStr">
        <is>
          <t>FORM_EN</t>
        </is>
      </c>
      <c r="F491" s="61" t="inlineStr">
        <is>
          <t>RW</t>
        </is>
      </c>
      <c r="G491" s="20" t="inlineStr">
        <is>
          <t>1=Enable formation controller.</t>
        </is>
      </c>
    </row>
    <row r="492" ht="32" customHeight="1">
      <c r="A492" s="69" t="inlineStr">
        <is>
          <t>0x6000</t>
        </is>
      </c>
      <c r="B492" s="70" t="inlineStr">
        <is>
          <t>CVG_CTRL</t>
        </is>
      </c>
      <c r="C492" s="71" t="inlineStr">
        <is>
          <t>1</t>
        </is>
      </c>
      <c r="D492" s="71" t="inlineStr">
        <is>
          <t>1</t>
        </is>
      </c>
      <c r="E492" s="11" t="inlineStr">
        <is>
          <t>MVK_EN</t>
        </is>
      </c>
      <c r="F492" s="79" t="inlineStr">
        <is>
          <t>RW</t>
        </is>
      </c>
      <c r="G492" s="15" t="inlineStr">
        <is>
          <t>1=Enable Multi-Vehicle Kalman Filter.</t>
        </is>
      </c>
    </row>
    <row r="493" ht="32" customHeight="1">
      <c r="A493" s="5" t="inlineStr">
        <is>
          <t>0x6000</t>
        </is>
      </c>
      <c r="B493" s="25" t="inlineStr">
        <is>
          <t>CVG_CTRL</t>
        </is>
      </c>
      <c r="C493" s="26" t="inlineStr">
        <is>
          <t>0</t>
        </is>
      </c>
      <c r="D493" s="26" t="inlineStr">
        <is>
          <t>0</t>
        </is>
      </c>
      <c r="E493" s="27" t="inlineStr">
        <is>
          <t>CVG_EN</t>
        </is>
      </c>
      <c r="F493" s="28" t="inlineStr">
        <is>
          <t>RW</t>
        </is>
      </c>
      <c r="G493" s="29" t="inlineStr">
        <is>
          <t>1=Convergence engine globally enabled.</t>
        </is>
      </c>
    </row>
    <row r="494" ht="32" customHeight="1">
      <c r="A494" s="5" t="inlineStr">
        <is>
          <t>0x6004</t>
        </is>
      </c>
      <c r="B494" s="25" t="inlineStr">
        <is>
          <t>CVG_STATUS</t>
        </is>
      </c>
      <c r="C494" s="26" t="inlineStr">
        <is>
          <t>31</t>
        </is>
      </c>
      <c r="D494" s="26" t="inlineStr">
        <is>
          <t>28</t>
        </is>
      </c>
      <c r="E494" s="27" t="inlineStr">
        <is>
          <t>RESERVED</t>
        </is>
      </c>
      <c r="F494" s="62" t="inlineStr">
        <is>
          <t>RO</t>
        </is>
      </c>
      <c r="G494" s="29" t="inlineStr">
        <is>
          <t>Reserved.</t>
        </is>
      </c>
    </row>
    <row r="495" ht="32" customHeight="1">
      <c r="A495" s="30" t="inlineStr">
        <is>
          <t>0x6004</t>
        </is>
      </c>
      <c r="B495" s="31" t="inlineStr">
        <is>
          <t>CVG_STATUS</t>
        </is>
      </c>
      <c r="C495" s="32" t="inlineStr">
        <is>
          <t>27</t>
        </is>
      </c>
      <c r="D495" s="32" t="inlineStr">
        <is>
          <t>24</t>
        </is>
      </c>
      <c r="E495" s="33" t="inlineStr">
        <is>
          <t>FORM_GEO</t>
        </is>
      </c>
      <c r="F495" s="63" t="inlineStr">
        <is>
          <t>RO</t>
        </is>
      </c>
      <c r="G495" s="35" t="inlineStr">
        <is>
          <t>Active formation: 0=TRI 1=LINE 2=V 3=SQ</t>
        </is>
      </c>
    </row>
    <row r="496" ht="32" customHeight="1">
      <c r="A496" s="24" t="inlineStr">
        <is>
          <t>0x6004</t>
        </is>
      </c>
      <c r="B496" s="36" t="inlineStr">
        <is>
          <t>CVG_STATUS</t>
        </is>
      </c>
      <c r="C496" s="37" t="inlineStr">
        <is>
          <t>23</t>
        </is>
      </c>
      <c r="D496" s="37" t="inlineStr">
        <is>
          <t>18</t>
        </is>
      </c>
      <c r="E496" s="38" t="inlineStr">
        <is>
          <t>THREAT_FLAGS</t>
        </is>
      </c>
      <c r="F496" s="64" t="inlineStr">
        <is>
          <t>RO</t>
        </is>
      </c>
      <c r="G496" s="40" t="inlineStr">
        <is>
          <t>Per-vehicle CA threat bitmask (6 bits).</t>
        </is>
      </c>
    </row>
    <row r="497" ht="32" customHeight="1">
      <c r="A497" s="41" t="inlineStr">
        <is>
          <t>0x6004</t>
        </is>
      </c>
      <c r="B497" s="42" t="inlineStr">
        <is>
          <t>CVG_STATUS</t>
        </is>
      </c>
      <c r="C497" s="43" t="inlineStr">
        <is>
          <t>17</t>
        </is>
      </c>
      <c r="D497" s="43" t="inlineStr">
        <is>
          <t>12</t>
        </is>
      </c>
      <c r="E497" s="44" t="inlineStr">
        <is>
          <t>FORM_OK</t>
        </is>
      </c>
      <c r="F497" s="65" t="inlineStr">
        <is>
          <t>RO</t>
        </is>
      </c>
      <c r="G497" s="46" t="inlineStr">
        <is>
          <t>Per-vehicle VEHICLE_IN_FORMATION (6 bits).</t>
        </is>
      </c>
    </row>
    <row r="498" ht="32" customHeight="1">
      <c r="A498" s="22" t="inlineStr">
        <is>
          <t>0x6004</t>
        </is>
      </c>
      <c r="B498" s="47" t="inlineStr">
        <is>
          <t>CVG_STATUS</t>
        </is>
      </c>
      <c r="C498" s="48" t="inlineStr">
        <is>
          <t>11</t>
        </is>
      </c>
      <c r="D498" s="48" t="inlineStr">
        <is>
          <t>11</t>
        </is>
      </c>
      <c r="E498" s="49" t="inlineStr">
        <is>
          <t>FORM_ACHIEVED</t>
        </is>
      </c>
      <c r="F498" s="66" t="inlineStr">
        <is>
          <t>RO</t>
        </is>
      </c>
      <c r="G498" s="51" t="inlineStr">
        <is>
          <t>1=All followers in formation ≥ 300 ms.</t>
        </is>
      </c>
    </row>
    <row r="499" ht="32" customHeight="1">
      <c r="A499" s="52" t="inlineStr">
        <is>
          <t>0x6004</t>
        </is>
      </c>
      <c r="B499" s="53" t="inlineStr">
        <is>
          <t>CVG_STATUS</t>
        </is>
      </c>
      <c r="C499" s="54" t="inlineStr">
        <is>
          <t>10</t>
        </is>
      </c>
      <c r="D499" s="54" t="inlineStr">
        <is>
          <t>10</t>
        </is>
      </c>
      <c r="E499" s="55" t="inlineStr">
        <is>
          <t>ESTOP_ACTIVE</t>
        </is>
      </c>
      <c r="F499" s="67" t="inlineStr">
        <is>
          <t>RO</t>
        </is>
      </c>
      <c r="G499" s="57" t="inlineStr">
        <is>
          <t>1=Fleet E-STOP currently asserted.</t>
        </is>
      </c>
    </row>
    <row r="500" ht="32" customHeight="1">
      <c r="A500" s="58" t="inlineStr">
        <is>
          <t>0x6004</t>
        </is>
      </c>
      <c r="B500" s="59" t="inlineStr">
        <is>
          <t>CVG_STATUS</t>
        </is>
      </c>
      <c r="C500" s="60" t="inlineStr">
        <is>
          <t>9</t>
        </is>
      </c>
      <c r="D500" s="60" t="inlineStr">
        <is>
          <t>9</t>
        </is>
      </c>
      <c r="E500" s="16" t="inlineStr">
        <is>
          <t>CA_ANY</t>
        </is>
      </c>
      <c r="F500" s="68" t="inlineStr">
        <is>
          <t>RO</t>
        </is>
      </c>
      <c r="G500" s="20" t="inlineStr">
        <is>
          <t>1=Any CA override active.</t>
        </is>
      </c>
    </row>
    <row r="501" ht="32" customHeight="1">
      <c r="A501" s="69" t="inlineStr">
        <is>
          <t>0x6004</t>
        </is>
      </c>
      <c r="B501" s="70" t="inlineStr">
        <is>
          <t>CVG_STATUS</t>
        </is>
      </c>
      <c r="C501" s="71" t="inlineStr">
        <is>
          <t>8</t>
        </is>
      </c>
      <c r="D501" s="71" t="inlineStr">
        <is>
          <t>8</t>
        </is>
      </c>
      <c r="E501" s="11" t="inlineStr">
        <is>
          <t>MVK_VALID</t>
        </is>
      </c>
      <c r="F501" s="12" t="inlineStr">
        <is>
          <t>RO</t>
        </is>
      </c>
      <c r="G501" s="15" t="inlineStr">
        <is>
          <t>1=MVK DATA_READY output is valid.</t>
        </is>
      </c>
    </row>
    <row r="502" ht="32" customHeight="1">
      <c r="A502" s="5" t="inlineStr">
        <is>
          <t>0x6004</t>
        </is>
      </c>
      <c r="B502" s="25" t="inlineStr">
        <is>
          <t>CVG_STATUS</t>
        </is>
      </c>
      <c r="C502" s="26" t="inlineStr">
        <is>
          <t>7</t>
        </is>
      </c>
      <c r="D502" s="26" t="inlineStr">
        <is>
          <t>4</t>
        </is>
      </c>
      <c r="E502" s="27" t="inlineStr">
        <is>
          <t>ARB_SLOT</t>
        </is>
      </c>
      <c r="F502" s="62" t="inlineStr">
        <is>
          <t>RO</t>
        </is>
      </c>
      <c r="G502" s="29" t="inlineStr">
        <is>
          <t>Current TDM slot index (0–5).</t>
        </is>
      </c>
    </row>
    <row r="503" ht="32" customHeight="1">
      <c r="A503" s="30" t="inlineStr">
        <is>
          <t>0x6004</t>
        </is>
      </c>
      <c r="B503" s="31" t="inlineStr">
        <is>
          <t>CVG_STATUS</t>
        </is>
      </c>
      <c r="C503" s="32" t="inlineStr">
        <is>
          <t>3</t>
        </is>
      </c>
      <c r="D503" s="32" t="inlineStr">
        <is>
          <t>0</t>
        </is>
      </c>
      <c r="E503" s="33" t="inlineStr">
        <is>
          <t>WDT_CNT</t>
        </is>
      </c>
      <c r="F503" s="63" t="inlineStr">
        <is>
          <t>RO</t>
        </is>
      </c>
      <c r="G503" s="35" t="inlineStr">
        <is>
          <t>CVG watchdog kick counter modulo 16.</t>
        </is>
      </c>
    </row>
    <row r="504" ht="32" customHeight="1">
      <c r="A504" s="5" t="inlineStr">
        <is>
          <t>0x6008</t>
        </is>
      </c>
      <c r="B504" s="25" t="inlineStr">
        <is>
          <t>APF_K_REP</t>
        </is>
      </c>
      <c r="C504" s="26" t="inlineStr">
        <is>
          <t>31</t>
        </is>
      </c>
      <c r="D504" s="26" t="inlineStr">
        <is>
          <t>0</t>
        </is>
      </c>
      <c r="E504" s="27" t="inlineStr">
        <is>
          <t>K_REP</t>
        </is>
      </c>
      <c r="F504" s="28" t="inlineStr">
        <is>
          <t>RW</t>
        </is>
      </c>
      <c r="G504" s="29" t="inlineStr">
        <is>
          <t>k_rep Q4.28. 5.0 × 2^28 = 0x50000000.</t>
        </is>
      </c>
    </row>
    <row r="505" ht="32" customHeight="1">
      <c r="A505" s="5" t="inlineStr">
        <is>
          <t>0x600C</t>
        </is>
      </c>
      <c r="B505" s="25" t="inlineStr">
        <is>
          <t>APF_K_DAMP</t>
        </is>
      </c>
      <c r="C505" s="26" t="inlineStr">
        <is>
          <t>31</t>
        </is>
      </c>
      <c r="D505" s="26" t="inlineStr">
        <is>
          <t>0</t>
        </is>
      </c>
      <c r="E505" s="27" t="inlineStr">
        <is>
          <t>K_DAMP</t>
        </is>
      </c>
      <c r="F505" s="28" t="inlineStr">
        <is>
          <t>RW</t>
        </is>
      </c>
      <c r="G505" s="29" t="inlineStr">
        <is>
          <t>k_damp Q4.28. 0.3 × 2^28 = 0x04CCCCCD.</t>
        </is>
      </c>
    </row>
    <row r="506" ht="32" customHeight="1">
      <c r="A506" s="5" t="inlineStr">
        <is>
          <t>0x6010</t>
        </is>
      </c>
      <c r="B506" s="25" t="inlineStr">
        <is>
          <t>APF_D_SAFE</t>
        </is>
      </c>
      <c r="C506" s="26" t="inlineStr">
        <is>
          <t>31</t>
        </is>
      </c>
      <c r="D506" s="26" t="inlineStr">
        <is>
          <t>8</t>
        </is>
      </c>
      <c r="E506" s="27" t="inlineStr">
        <is>
          <t>RESERVED</t>
        </is>
      </c>
      <c r="F506" s="28" t="inlineStr">
        <is>
          <t>RW</t>
        </is>
      </c>
      <c r="G506" s="29" t="inlineStr">
        <is>
          <t>Reserved.</t>
        </is>
      </c>
    </row>
    <row r="507" ht="32" customHeight="1">
      <c r="A507" s="30" t="inlineStr">
        <is>
          <t>0x6010</t>
        </is>
      </c>
      <c r="B507" s="31" t="inlineStr">
        <is>
          <t>APF_D_SAFE</t>
        </is>
      </c>
      <c r="C507" s="32" t="inlineStr">
        <is>
          <t>7</t>
        </is>
      </c>
      <c r="D507" s="32" t="inlineStr">
        <is>
          <t>0</t>
        </is>
      </c>
      <c r="E507" s="33" t="inlineStr">
        <is>
          <t>D_SAFE_M</t>
        </is>
      </c>
      <c r="F507" s="34" t="inlineStr">
        <is>
          <t>RW</t>
        </is>
      </c>
      <c r="G507" s="35" t="inlineStr">
        <is>
          <t>Safety radius metres. Range 2–50.</t>
        </is>
      </c>
    </row>
    <row r="508" ht="32" customHeight="1">
      <c r="A508" s="5" t="inlineStr">
        <is>
          <t>0x6014</t>
        </is>
      </c>
      <c r="B508" s="25" t="inlineStr">
        <is>
          <t>APF_F_MAX</t>
        </is>
      </c>
      <c r="C508" s="26" t="inlineStr">
        <is>
          <t>31</t>
        </is>
      </c>
      <c r="D508" s="26" t="inlineStr">
        <is>
          <t>0</t>
        </is>
      </c>
      <c r="E508" s="27" t="inlineStr">
        <is>
          <t>F_MAX</t>
        </is>
      </c>
      <c r="F508" s="28" t="inlineStr">
        <is>
          <t>RW</t>
        </is>
      </c>
      <c r="G508" s="29" t="inlineStr">
        <is>
          <t>Max APF output Q4.28.</t>
        </is>
      </c>
    </row>
    <row r="509" ht="32" customHeight="1">
      <c r="A509" s="5" t="inlineStr">
        <is>
          <t>0x6018</t>
        </is>
      </c>
      <c r="B509" s="25" t="inlineStr">
        <is>
          <t>APF_CAUTION</t>
        </is>
      </c>
      <c r="C509" s="26" t="inlineStr">
        <is>
          <t>31</t>
        </is>
      </c>
      <c r="D509" s="26" t="inlineStr">
        <is>
          <t>8</t>
        </is>
      </c>
      <c r="E509" s="27" t="inlineStr">
        <is>
          <t>RESERVED</t>
        </is>
      </c>
      <c r="F509" s="28" t="inlineStr">
        <is>
          <t>RW</t>
        </is>
      </c>
      <c r="G509" s="29" t="inlineStr">
        <is>
          <t>Reserved.</t>
        </is>
      </c>
    </row>
    <row r="510" ht="32" customHeight="1">
      <c r="A510" s="30" t="inlineStr">
        <is>
          <t>0x6018</t>
        </is>
      </c>
      <c r="B510" s="31" t="inlineStr">
        <is>
          <t>APF_CAUTION</t>
        </is>
      </c>
      <c r="C510" s="32" t="inlineStr">
        <is>
          <t>7</t>
        </is>
      </c>
      <c r="D510" s="32" t="inlineStr">
        <is>
          <t>0</t>
        </is>
      </c>
      <c r="E510" s="33" t="inlineStr">
        <is>
          <t>CAUTION_MULT</t>
        </is>
      </c>
      <c r="F510" s="34" t="inlineStr">
        <is>
          <t>RW</t>
        </is>
      </c>
      <c r="G510" s="35" t="inlineStr">
        <is>
          <t>Caution multiplier. Default 2.</t>
        </is>
      </c>
    </row>
    <row r="511" ht="32" customHeight="1">
      <c r="A511" s="5" t="inlineStr">
        <is>
          <t>0x601C</t>
        </is>
      </c>
      <c r="B511" s="25" t="inlineStr">
        <is>
          <t>FORM_BASELINE</t>
        </is>
      </c>
      <c r="C511" s="26" t="inlineStr">
        <is>
          <t>31</t>
        </is>
      </c>
      <c r="D511" s="26" t="inlineStr">
        <is>
          <t>8</t>
        </is>
      </c>
      <c r="E511" s="27" t="inlineStr">
        <is>
          <t>RESERVED</t>
        </is>
      </c>
      <c r="F511" s="28" t="inlineStr">
        <is>
          <t>RW</t>
        </is>
      </c>
      <c r="G511" s="29" t="inlineStr">
        <is>
          <t>Reserved.</t>
        </is>
      </c>
    </row>
    <row r="512" ht="32" customHeight="1">
      <c r="A512" s="30" t="inlineStr">
        <is>
          <t>0x601C</t>
        </is>
      </c>
      <c r="B512" s="31" t="inlineStr">
        <is>
          <t>FORM_BASELINE</t>
        </is>
      </c>
      <c r="C512" s="32" t="inlineStr">
        <is>
          <t>7</t>
        </is>
      </c>
      <c r="D512" s="32" t="inlineStr">
        <is>
          <t>0</t>
        </is>
      </c>
      <c r="E512" s="33" t="inlineStr">
        <is>
          <t>BASELINE_M</t>
        </is>
      </c>
      <c r="F512" s="34" t="inlineStr">
        <is>
          <t>RW</t>
        </is>
      </c>
      <c r="G512" s="35" t="inlineStr">
        <is>
          <t>Baseline metres. Applied to all geometry offsets.</t>
        </is>
      </c>
    </row>
    <row r="513" ht="32" customHeight="1">
      <c r="A513" s="5" t="inlineStr">
        <is>
          <t>0x6020</t>
        </is>
      </c>
      <c r="B513" s="25" t="inlineStr">
        <is>
          <t>FORM_SCALE</t>
        </is>
      </c>
      <c r="C513" s="26" t="inlineStr">
        <is>
          <t>31</t>
        </is>
      </c>
      <c r="D513" s="26" t="inlineStr">
        <is>
          <t>16</t>
        </is>
      </c>
      <c r="E513" s="27" t="inlineStr">
        <is>
          <t>RESERVED</t>
        </is>
      </c>
      <c r="F513" s="28" t="inlineStr">
        <is>
          <t>RW</t>
        </is>
      </c>
      <c r="G513" s="29" t="inlineStr">
        <is>
          <t>Reserved.</t>
        </is>
      </c>
    </row>
    <row r="514" ht="32" customHeight="1">
      <c r="A514" s="30" t="inlineStr">
        <is>
          <t>0x6020</t>
        </is>
      </c>
      <c r="B514" s="31" t="inlineStr">
        <is>
          <t>FORM_SCALE</t>
        </is>
      </c>
      <c r="C514" s="32" t="inlineStr">
        <is>
          <t>15</t>
        </is>
      </c>
      <c r="D514" s="32" t="inlineStr">
        <is>
          <t>0</t>
        </is>
      </c>
      <c r="E514" s="33" t="inlineStr">
        <is>
          <t>SCALE</t>
        </is>
      </c>
      <c r="F514" s="34" t="inlineStr">
        <is>
          <t>RW</t>
        </is>
      </c>
      <c r="G514" s="35" t="inlineStr">
        <is>
          <t>Scale Q4.12. Safety floor: 0.2 enforced in hardware.</t>
        </is>
      </c>
    </row>
    <row r="515" ht="32" customHeight="1">
      <c r="A515" s="5" t="inlineStr">
        <is>
          <t>0x6024</t>
        </is>
      </c>
      <c r="B515" s="25" t="inlineStr">
        <is>
          <t>FORM_TRANS_STEPS</t>
        </is>
      </c>
      <c r="C515" s="26" t="inlineStr">
        <is>
          <t>31</t>
        </is>
      </c>
      <c r="D515" s="26" t="inlineStr">
        <is>
          <t>8</t>
        </is>
      </c>
      <c r="E515" s="27" t="inlineStr">
        <is>
          <t>RESERVED</t>
        </is>
      </c>
      <c r="F515" s="28" t="inlineStr">
        <is>
          <t>RW</t>
        </is>
      </c>
      <c r="G515" s="29" t="inlineStr">
        <is>
          <t>Reserved.</t>
        </is>
      </c>
    </row>
    <row r="516" ht="32" customHeight="1">
      <c r="A516" s="30" t="inlineStr">
        <is>
          <t>0x6024</t>
        </is>
      </c>
      <c r="B516" s="31" t="inlineStr">
        <is>
          <t>FORM_TRANS_STEPS</t>
        </is>
      </c>
      <c r="C516" s="32" t="inlineStr">
        <is>
          <t>7</t>
        </is>
      </c>
      <c r="D516" s="32" t="inlineStr">
        <is>
          <t>0</t>
        </is>
      </c>
      <c r="E516" s="33" t="inlineStr">
        <is>
          <t>STEPS</t>
        </is>
      </c>
      <c r="F516" s="34" t="inlineStr">
        <is>
          <t>RW</t>
        </is>
      </c>
      <c r="G516" s="35" t="inlineStr">
        <is>
          <t>Transition step count. Each step = 100 ms.</t>
        </is>
      </c>
    </row>
    <row r="517" ht="32" customHeight="1">
      <c r="A517" s="5" t="inlineStr">
        <is>
          <t>0x6028</t>
        </is>
      </c>
      <c r="B517" s="25" t="inlineStr">
        <is>
          <t>FORM_ERR_THRESH</t>
        </is>
      </c>
      <c r="C517" s="26" t="inlineStr">
        <is>
          <t>31</t>
        </is>
      </c>
      <c r="D517" s="26" t="inlineStr">
        <is>
          <t>0</t>
        </is>
      </c>
      <c r="E517" s="27" t="inlineStr">
        <is>
          <t>THRESH_M</t>
        </is>
      </c>
      <c r="F517" s="28" t="inlineStr">
        <is>
          <t>RW</t>
        </is>
      </c>
      <c r="G517" s="29" t="inlineStr">
        <is>
          <t>Error threshold Q10.22.</t>
        </is>
      </c>
    </row>
    <row r="518" ht="32" customHeight="1">
      <c r="A518" s="5" t="inlineStr">
        <is>
          <t>0x602C</t>
        </is>
      </c>
      <c r="B518" s="25" t="inlineStr">
        <is>
          <t>FORM_KFF</t>
        </is>
      </c>
      <c r="C518" s="26" t="inlineStr">
        <is>
          <t>31</t>
        </is>
      </c>
      <c r="D518" s="26" t="inlineStr">
        <is>
          <t>16</t>
        </is>
      </c>
      <c r="E518" s="27" t="inlineStr">
        <is>
          <t>RESERVED</t>
        </is>
      </c>
      <c r="F518" s="28" t="inlineStr">
        <is>
          <t>RW</t>
        </is>
      </c>
      <c r="G518" s="29" t="inlineStr">
        <is>
          <t>Reserved.</t>
        </is>
      </c>
    </row>
    <row r="519" ht="32" customHeight="1">
      <c r="A519" s="30" t="inlineStr">
        <is>
          <t>0x602C</t>
        </is>
      </c>
      <c r="B519" s="31" t="inlineStr">
        <is>
          <t>FORM_KFF</t>
        </is>
      </c>
      <c r="C519" s="32" t="inlineStr">
        <is>
          <t>15</t>
        </is>
      </c>
      <c r="D519" s="32" t="inlineStr">
        <is>
          <t>0</t>
        </is>
      </c>
      <c r="E519" s="33" t="inlineStr">
        <is>
          <t>K_FF</t>
        </is>
      </c>
      <c r="F519" s="34" t="inlineStr">
        <is>
          <t>RW</t>
        </is>
      </c>
      <c r="G519" s="35" t="inlineStr">
        <is>
          <t>K_ff Q4.12.</t>
        </is>
      </c>
    </row>
    <row r="520" ht="32" customHeight="1">
      <c r="A520" s="5" t="inlineStr">
        <is>
          <t>0x6030</t>
        </is>
      </c>
      <c r="B520" s="25" t="inlineStr">
        <is>
          <t>MVK_Q_POS</t>
        </is>
      </c>
      <c r="C520" s="26" t="inlineStr">
        <is>
          <t>31</t>
        </is>
      </c>
      <c r="D520" s="26" t="inlineStr">
        <is>
          <t>0</t>
        </is>
      </c>
      <c r="E520" s="27" t="inlineStr">
        <is>
          <t>Q_POS</t>
        </is>
      </c>
      <c r="F520" s="28" t="inlineStr">
        <is>
          <t>RW</t>
        </is>
      </c>
      <c r="G520" s="29" t="inlineStr">
        <is>
          <t>Position noise Q10.22.</t>
        </is>
      </c>
    </row>
    <row r="521" ht="32" customHeight="1">
      <c r="A521" s="5" t="inlineStr">
        <is>
          <t>0x6034</t>
        </is>
      </c>
      <c r="B521" s="25" t="inlineStr">
        <is>
          <t>MVK_Q_VEL</t>
        </is>
      </c>
      <c r="C521" s="26" t="inlineStr">
        <is>
          <t>31</t>
        </is>
      </c>
      <c r="D521" s="26" t="inlineStr">
        <is>
          <t>0</t>
        </is>
      </c>
      <c r="E521" s="27" t="inlineStr">
        <is>
          <t>Q_VEL</t>
        </is>
      </c>
      <c r="F521" s="28" t="inlineStr">
        <is>
          <t>RW</t>
        </is>
      </c>
      <c r="G521" s="29" t="inlineStr">
        <is>
          <t>Velocity noise Q4.28.</t>
        </is>
      </c>
    </row>
    <row r="522" ht="32" customHeight="1">
      <c r="A522" s="5" t="inlineStr">
        <is>
          <t>0x6038</t>
        </is>
      </c>
      <c r="B522" s="25" t="inlineStr">
        <is>
          <t>MVK_R_ISL</t>
        </is>
      </c>
      <c r="C522" s="26" t="inlineStr">
        <is>
          <t>31</t>
        </is>
      </c>
      <c r="D522" s="26" t="inlineStr">
        <is>
          <t>0</t>
        </is>
      </c>
      <c r="E522" s="27" t="inlineStr">
        <is>
          <t>R_ISL</t>
        </is>
      </c>
      <c r="F522" s="28" t="inlineStr">
        <is>
          <t>RW</t>
        </is>
      </c>
      <c r="G522" s="29" t="inlineStr">
        <is>
          <t>ISL pos noise Q10.22.</t>
        </is>
      </c>
    </row>
    <row r="523" ht="32" customHeight="1">
      <c r="A523" s="5" t="inlineStr">
        <is>
          <t>0x603C</t>
        </is>
      </c>
      <c r="B523" s="25" t="inlineStr">
        <is>
          <t>MVK_R_GPS</t>
        </is>
      </c>
      <c r="C523" s="26" t="inlineStr">
        <is>
          <t>31</t>
        </is>
      </c>
      <c r="D523" s="26" t="inlineStr">
        <is>
          <t>0</t>
        </is>
      </c>
      <c r="E523" s="27" t="inlineStr">
        <is>
          <t>R_GPS</t>
        </is>
      </c>
      <c r="F523" s="28" t="inlineStr">
        <is>
          <t>RW</t>
        </is>
      </c>
      <c r="G523" s="29" t="inlineStr">
        <is>
          <t>GPS pos noise Q10.22.</t>
        </is>
      </c>
    </row>
    <row r="524" ht="32" customHeight="1">
      <c r="A524" s="5" t="inlineStr">
        <is>
          <t>0x6040</t>
        </is>
      </c>
      <c r="B524" s="25" t="inlineStr">
        <is>
          <t>MVK_GATE</t>
        </is>
      </c>
      <c r="C524" s="26" t="inlineStr">
        <is>
          <t>31</t>
        </is>
      </c>
      <c r="D524" s="26" t="inlineStr">
        <is>
          <t>8</t>
        </is>
      </c>
      <c r="E524" s="27" t="inlineStr">
        <is>
          <t>RESERVED</t>
        </is>
      </c>
      <c r="F524" s="28" t="inlineStr">
        <is>
          <t>RW</t>
        </is>
      </c>
      <c r="G524" s="29" t="inlineStr">
        <is>
          <t>Reserved.</t>
        </is>
      </c>
    </row>
    <row r="525" ht="32" customHeight="1">
      <c r="A525" s="30" t="inlineStr">
        <is>
          <t>0x6040</t>
        </is>
      </c>
      <c r="B525" s="31" t="inlineStr">
        <is>
          <t>MVK_GATE</t>
        </is>
      </c>
      <c r="C525" s="32" t="inlineStr">
        <is>
          <t>7</t>
        </is>
      </c>
      <c r="D525" s="32" t="inlineStr">
        <is>
          <t>0</t>
        </is>
      </c>
      <c r="E525" s="33" t="inlineStr">
        <is>
          <t>GATE_SIG</t>
        </is>
      </c>
      <c r="F525" s="34" t="inlineStr">
        <is>
          <t>RW</t>
        </is>
      </c>
      <c r="G525" s="35" t="inlineStr">
        <is>
          <t>Gate sigma. Range 3–10.</t>
        </is>
      </c>
    </row>
    <row r="526" ht="32" customHeight="1">
      <c r="A526" s="5" t="inlineStr">
        <is>
          <t>0x6044</t>
        </is>
      </c>
      <c r="B526" s="25" t="inlineStr">
        <is>
          <t>ARB_SLOT_MS</t>
        </is>
      </c>
      <c r="C526" s="26" t="inlineStr">
        <is>
          <t>31</t>
        </is>
      </c>
      <c r="D526" s="26" t="inlineStr">
        <is>
          <t>16</t>
        </is>
      </c>
      <c r="E526" s="27" t="inlineStr">
        <is>
          <t>RESERVED</t>
        </is>
      </c>
      <c r="F526" s="28" t="inlineStr">
        <is>
          <t>RW</t>
        </is>
      </c>
      <c r="G526" s="29" t="inlineStr">
        <is>
          <t>Reserved.</t>
        </is>
      </c>
    </row>
    <row r="527" ht="32" customHeight="1">
      <c r="A527" s="30" t="inlineStr">
        <is>
          <t>0x6044</t>
        </is>
      </c>
      <c r="B527" s="31" t="inlineStr">
        <is>
          <t>ARB_SLOT_MS</t>
        </is>
      </c>
      <c r="C527" s="32" t="inlineStr">
        <is>
          <t>15</t>
        </is>
      </c>
      <c r="D527" s="32" t="inlineStr">
        <is>
          <t>0</t>
        </is>
      </c>
      <c r="E527" s="33" t="inlineStr">
        <is>
          <t>SLOT_MS</t>
        </is>
      </c>
      <c r="F527" s="34" t="inlineStr">
        <is>
          <t>RW</t>
        </is>
      </c>
      <c r="G527" s="35" t="inlineStr">
        <is>
          <t>Slot duration ms.</t>
        </is>
      </c>
    </row>
    <row r="528" ht="32" customHeight="1">
      <c r="A528" s="5" t="inlineStr">
        <is>
          <t>0x6048</t>
        </is>
      </c>
      <c r="B528" s="25" t="inlineStr">
        <is>
          <t>ARB_ISL_SPLIT</t>
        </is>
      </c>
      <c r="C528" s="26" t="inlineStr">
        <is>
          <t>31</t>
        </is>
      </c>
      <c r="D528" s="26" t="inlineStr">
        <is>
          <t>8</t>
        </is>
      </c>
      <c r="E528" s="27" t="inlineStr">
        <is>
          <t>RESERVED</t>
        </is>
      </c>
      <c r="F528" s="28" t="inlineStr">
        <is>
          <t>RW</t>
        </is>
      </c>
      <c r="G528" s="29" t="inlineStr">
        <is>
          <t>Reserved.</t>
        </is>
      </c>
    </row>
    <row r="529" ht="32" customHeight="1">
      <c r="A529" s="30" t="inlineStr">
        <is>
          <t>0x6048</t>
        </is>
      </c>
      <c r="B529" s="31" t="inlineStr">
        <is>
          <t>ARB_ISL_SPLIT</t>
        </is>
      </c>
      <c r="C529" s="32" t="inlineStr">
        <is>
          <t>7</t>
        </is>
      </c>
      <c r="D529" s="32" t="inlineStr">
        <is>
          <t>0</t>
        </is>
      </c>
      <c r="E529" s="33" t="inlineStr">
        <is>
          <t>TX_PCT</t>
        </is>
      </c>
      <c r="F529" s="34" t="inlineStr">
        <is>
          <t>RW</t>
        </is>
      </c>
      <c r="G529" s="35" t="inlineStr">
        <is>
          <t>TX percentage 0–100. Default 60.</t>
        </is>
      </c>
    </row>
    <row r="530" ht="32" customHeight="1">
      <c r="A530" s="5" t="inlineStr">
        <is>
          <t>0x604C</t>
        </is>
      </c>
      <c r="B530" s="25" t="inlineStr">
        <is>
          <t>ARB_GUARD_MS</t>
        </is>
      </c>
      <c r="C530" s="26" t="inlineStr">
        <is>
          <t>31</t>
        </is>
      </c>
      <c r="D530" s="26" t="inlineStr">
        <is>
          <t>8</t>
        </is>
      </c>
      <c r="E530" s="27" t="inlineStr">
        <is>
          <t>RESERVED</t>
        </is>
      </c>
      <c r="F530" s="28" t="inlineStr">
        <is>
          <t>RW</t>
        </is>
      </c>
      <c r="G530" s="29" t="inlineStr">
        <is>
          <t>Reserved.</t>
        </is>
      </c>
    </row>
    <row r="531" ht="32" customHeight="1">
      <c r="A531" s="30" t="inlineStr">
        <is>
          <t>0x604C</t>
        </is>
      </c>
      <c r="B531" s="31" t="inlineStr">
        <is>
          <t>ARB_GUARD_MS</t>
        </is>
      </c>
      <c r="C531" s="32" t="inlineStr">
        <is>
          <t>7</t>
        </is>
      </c>
      <c r="D531" s="32" t="inlineStr">
        <is>
          <t>0</t>
        </is>
      </c>
      <c r="E531" s="33" t="inlineStr">
        <is>
          <t>GUARD_MS</t>
        </is>
      </c>
      <c r="F531" s="34" t="inlineStr">
        <is>
          <t>RW</t>
        </is>
      </c>
      <c r="G531" s="35" t="inlineStr">
        <is>
          <t>Guard interval ms.</t>
        </is>
      </c>
    </row>
    <row r="532" ht="32" customHeight="1">
      <c r="A532" s="5" t="inlineStr">
        <is>
          <t>0x6050</t>
        </is>
      </c>
      <c r="B532" s="25" t="inlineStr">
        <is>
          <t>ARB_DISPATCH_MS</t>
        </is>
      </c>
      <c r="C532" s="26" t="inlineStr">
        <is>
          <t>31</t>
        </is>
      </c>
      <c r="D532" s="26" t="inlineStr">
        <is>
          <t>8</t>
        </is>
      </c>
      <c r="E532" s="27" t="inlineStr">
        <is>
          <t>RESERVED</t>
        </is>
      </c>
      <c r="F532" s="28" t="inlineStr">
        <is>
          <t>RW</t>
        </is>
      </c>
      <c r="G532" s="29" t="inlineStr">
        <is>
          <t>Reserved.</t>
        </is>
      </c>
    </row>
    <row r="533" ht="32" customHeight="1">
      <c r="A533" s="30" t="inlineStr">
        <is>
          <t>0x6050</t>
        </is>
      </c>
      <c r="B533" s="31" t="inlineStr">
        <is>
          <t>ARB_DISPATCH_MS</t>
        </is>
      </c>
      <c r="C533" s="32" t="inlineStr">
        <is>
          <t>7</t>
        </is>
      </c>
      <c r="D533" s="32" t="inlineStr">
        <is>
          <t>0</t>
        </is>
      </c>
      <c r="E533" s="33" t="inlineStr">
        <is>
          <t>DISPATCH_MS</t>
        </is>
      </c>
      <c r="F533" s="34" t="inlineStr">
        <is>
          <t>RW</t>
        </is>
      </c>
      <c r="G533" s="35" t="inlineStr">
        <is>
          <t>Dispatch window ms.</t>
        </is>
      </c>
    </row>
    <row r="534" ht="32" customHeight="1">
      <c r="A534" s="5" t="inlineStr">
        <is>
          <t>0x6054</t>
        </is>
      </c>
      <c r="B534" s="25" t="inlineStr">
        <is>
          <t>CVG_SCORE_REG</t>
        </is>
      </c>
      <c r="C534" s="26" t="inlineStr">
        <is>
          <t>31</t>
        </is>
      </c>
      <c r="D534" s="26" t="inlineStr">
        <is>
          <t>0</t>
        </is>
      </c>
      <c r="E534" s="27" t="inlineStr">
        <is>
          <t>CVG_SCORE</t>
        </is>
      </c>
      <c r="F534" s="62" t="inlineStr">
        <is>
          <t>RO</t>
        </is>
      </c>
      <c r="G534" s="29" t="inlineStr">
        <is>
          <t>Formation quality metric Q4.28. Read-only live value.</t>
        </is>
      </c>
    </row>
    <row r="535" ht="32" customHeight="1">
      <c r="A535" s="5" t="inlineStr">
        <is>
          <t>0x6058</t>
        </is>
      </c>
      <c r="B535" s="25" t="inlineStr">
        <is>
          <t>CVG_SCORE_THR</t>
        </is>
      </c>
      <c r="C535" s="26" t="inlineStr">
        <is>
          <t>31</t>
        </is>
      </c>
      <c r="D535" s="26" t="inlineStr">
        <is>
          <t>0</t>
        </is>
      </c>
      <c r="E535" s="27" t="inlineStr">
        <is>
          <t>SCORE_THRESH</t>
        </is>
      </c>
      <c r="F535" s="28" t="inlineStr">
        <is>
          <t>RW</t>
        </is>
      </c>
      <c r="G535" s="29" t="inlineStr">
        <is>
          <t>Threshold Q4.28. 0.8 × 2^28 = 0x0CCCCCCD.</t>
        </is>
      </c>
    </row>
    <row r="536" ht="32" customHeight="1">
      <c r="A536" s="5" t="inlineStr">
        <is>
          <t>0x605C</t>
        </is>
      </c>
      <c r="B536" s="25" t="inlineStr">
        <is>
          <t>DBG_MVK_CNT</t>
        </is>
      </c>
      <c r="C536" s="26" t="inlineStr">
        <is>
          <t>31</t>
        </is>
      </c>
      <c r="D536" s="26" t="inlineStr">
        <is>
          <t>0</t>
        </is>
      </c>
      <c r="E536" s="27" t="inlineStr">
        <is>
          <t>MVK_CNT</t>
        </is>
      </c>
      <c r="F536" s="62" t="inlineStr">
        <is>
          <t>RO</t>
        </is>
      </c>
      <c r="G536" s="29" t="inlineStr">
        <is>
          <t>MVK update count since reset.</t>
        </is>
      </c>
    </row>
    <row r="537" ht="32" customHeight="1">
      <c r="A537" s="5" t="inlineStr">
        <is>
          <t>0x6060</t>
        </is>
      </c>
      <c r="B537" s="25" t="inlineStr">
        <is>
          <t>DBG_FORM_TRANS</t>
        </is>
      </c>
      <c r="C537" s="26" t="inlineStr">
        <is>
          <t>31</t>
        </is>
      </c>
      <c r="D537" s="26" t="inlineStr">
        <is>
          <t>16</t>
        </is>
      </c>
      <c r="E537" s="27" t="inlineStr">
        <is>
          <t>TRANS_CNT</t>
        </is>
      </c>
      <c r="F537" s="62" t="inlineStr">
        <is>
          <t>RO</t>
        </is>
      </c>
      <c r="G537" s="29" t="inlineStr">
        <is>
          <t>Total formation geometry transitions.</t>
        </is>
      </c>
    </row>
    <row r="538" ht="32" customHeight="1">
      <c r="A538" s="30" t="inlineStr">
        <is>
          <t>0x6060</t>
        </is>
      </c>
      <c r="B538" s="31" t="inlineStr">
        <is>
          <t>DBG_FORM_TRANS</t>
        </is>
      </c>
      <c r="C538" s="32" t="inlineStr">
        <is>
          <t>15</t>
        </is>
      </c>
      <c r="D538" s="32" t="inlineStr">
        <is>
          <t>0</t>
        </is>
      </c>
      <c r="E538" s="33" t="inlineStr">
        <is>
          <t>ACTIVE_MS</t>
        </is>
      </c>
      <c r="F538" s="63" t="inlineStr">
        <is>
          <t>RO</t>
        </is>
      </c>
      <c r="G538" s="35" t="inlineStr">
        <is>
          <t>Milliseconds since last transition started.</t>
        </is>
      </c>
    </row>
    <row r="539" ht="32" customHeight="1">
      <c r="A539" s="5" t="inlineStr">
        <is>
          <t>0x6064</t>
        </is>
      </c>
      <c r="B539" s="25" t="inlineStr">
        <is>
          <t>DBG_APF_THREATS</t>
        </is>
      </c>
      <c r="C539" s="26" t="inlineStr">
        <is>
          <t>31</t>
        </is>
      </c>
      <c r="D539" s="26" t="inlineStr">
        <is>
          <t>16</t>
        </is>
      </c>
      <c r="E539" s="27" t="inlineStr">
        <is>
          <t>ESTOP_CNT</t>
        </is>
      </c>
      <c r="F539" s="62" t="inlineStr">
        <is>
          <t>RO</t>
        </is>
      </c>
      <c r="G539" s="29" t="inlineStr">
        <is>
          <t>Fleet E-STOP activation count.</t>
        </is>
      </c>
    </row>
    <row r="540" ht="32" customHeight="1">
      <c r="A540" s="30" t="inlineStr">
        <is>
          <t>0x6064</t>
        </is>
      </c>
      <c r="B540" s="31" t="inlineStr">
        <is>
          <t>DBG_APF_THREATS</t>
        </is>
      </c>
      <c r="C540" s="32" t="inlineStr">
        <is>
          <t>15</t>
        </is>
      </c>
      <c r="D540" s="32" t="inlineStr">
        <is>
          <t>0</t>
        </is>
      </c>
      <c r="E540" s="33" t="inlineStr">
        <is>
          <t>THREAT_CNT</t>
        </is>
      </c>
      <c r="F540" s="63" t="inlineStr">
        <is>
          <t>RO</t>
        </is>
      </c>
      <c r="G540" s="35" t="inlineStr">
        <is>
          <t>Total threatening pair detections (d &lt; d_safe).</t>
        </is>
      </c>
    </row>
    <row r="541" ht="32" customHeight="1">
      <c r="A541" s="5" t="inlineStr">
        <is>
          <t>0x6068</t>
        </is>
      </c>
      <c r="B541" s="25" t="inlineStr">
        <is>
          <t>DBG_ARB_OVERRUNS</t>
        </is>
      </c>
      <c r="C541" s="26" t="inlineStr">
        <is>
          <t>31</t>
        </is>
      </c>
      <c r="D541" s="26" t="inlineStr">
        <is>
          <t>16</t>
        </is>
      </c>
      <c r="E541" s="27" t="inlineStr">
        <is>
          <t>CA_PREEMPT</t>
        </is>
      </c>
      <c r="F541" s="62" t="inlineStr">
        <is>
          <t>RO</t>
        </is>
      </c>
      <c r="G541" s="29" t="inlineStr">
        <is>
          <t>CA pre-emption events (APF overriding TDM slot).</t>
        </is>
      </c>
    </row>
    <row r="542" ht="32" customHeight="1">
      <c r="A542" s="30" t="inlineStr">
        <is>
          <t>0x6068</t>
        </is>
      </c>
      <c r="B542" s="31" t="inlineStr">
        <is>
          <t>DBG_ARB_OVERRUNS</t>
        </is>
      </c>
      <c r="C542" s="32" t="inlineStr">
        <is>
          <t>15</t>
        </is>
      </c>
      <c r="D542" s="32" t="inlineStr">
        <is>
          <t>0</t>
        </is>
      </c>
      <c r="E542" s="33" t="inlineStr">
        <is>
          <t>SLOT_OVERRUN</t>
        </is>
      </c>
      <c r="F542" s="63" t="inlineStr">
        <is>
          <t>RO</t>
        </is>
      </c>
      <c r="G542" s="35" t="inlineStr">
        <is>
          <t>TDM slot overruns (compute exceeded slot time).</t>
        </is>
      </c>
    </row>
    <row r="543" ht="32" customHeight="1">
      <c r="A543" s="5" t="inlineStr">
        <is>
          <t>0x606C</t>
        </is>
      </c>
      <c r="B543" s="25" t="inlineStr">
        <is>
          <t>DBG_FAULT_LOG</t>
        </is>
      </c>
      <c r="C543" s="26" t="inlineStr">
        <is>
          <t>31</t>
        </is>
      </c>
      <c r="D543" s="26" t="inlineStr">
        <is>
          <t>8</t>
        </is>
      </c>
      <c r="E543" s="27" t="inlineStr">
        <is>
          <t>RESERVED</t>
        </is>
      </c>
      <c r="F543" s="72" t="inlineStr">
        <is>
          <t>W1C</t>
        </is>
      </c>
      <c r="G543" s="29" t="inlineStr">
        <is>
          <t>Reserved.</t>
        </is>
      </c>
    </row>
    <row r="544" ht="32" customHeight="1">
      <c r="A544" s="30" t="inlineStr">
        <is>
          <t>0x606C</t>
        </is>
      </c>
      <c r="B544" s="31" t="inlineStr">
        <is>
          <t>DBG_FAULT_LOG</t>
        </is>
      </c>
      <c r="C544" s="32" t="inlineStr">
        <is>
          <t>7</t>
        </is>
      </c>
      <c r="D544" s="32" t="inlineStr">
        <is>
          <t>7</t>
        </is>
      </c>
      <c r="E544" s="33" t="inlineStr">
        <is>
          <t>MVK_DIVG</t>
        </is>
      </c>
      <c r="F544" s="73" t="inlineStr">
        <is>
          <t>W1C</t>
        </is>
      </c>
      <c r="G544" s="35" t="inlineStr">
        <is>
          <t>MVK covariance divergence detected.</t>
        </is>
      </c>
    </row>
    <row r="545" ht="32" customHeight="1">
      <c r="A545" s="24" t="inlineStr">
        <is>
          <t>0x606C</t>
        </is>
      </c>
      <c r="B545" s="36" t="inlineStr">
        <is>
          <t>DBG_FAULT_LOG</t>
        </is>
      </c>
      <c r="C545" s="37" t="inlineStr">
        <is>
          <t>6</t>
        </is>
      </c>
      <c r="D545" s="37" t="inlineStr">
        <is>
          <t>6</t>
        </is>
      </c>
      <c r="E545" s="38" t="inlineStr">
        <is>
          <t>APF_DEADLINE</t>
        </is>
      </c>
      <c r="F545" s="74" t="inlineStr">
        <is>
          <t>W1C</t>
        </is>
      </c>
      <c r="G545" s="40" t="inlineStr">
        <is>
          <t>APF missed 10 ms compute deadline.</t>
        </is>
      </c>
    </row>
    <row r="546" ht="32" customHeight="1">
      <c r="A546" s="41" t="inlineStr">
        <is>
          <t>0x606C</t>
        </is>
      </c>
      <c r="B546" s="42" t="inlineStr">
        <is>
          <t>DBG_FAULT_LOG</t>
        </is>
      </c>
      <c r="C546" s="43" t="inlineStr">
        <is>
          <t>5</t>
        </is>
      </c>
      <c r="D546" s="43" t="inlineStr">
        <is>
          <t>5</t>
        </is>
      </c>
      <c r="E546" s="44" t="inlineStr">
        <is>
          <t>FORM_STALE</t>
        </is>
      </c>
      <c r="F546" s="75" t="inlineStr">
        <is>
          <t>W1C</t>
        </is>
      </c>
      <c r="G546" s="46" t="inlineStr">
        <is>
          <t>Formation command stale &gt; 200 ms.</t>
        </is>
      </c>
    </row>
    <row r="547" ht="32" customHeight="1">
      <c r="A547" s="22" t="inlineStr">
        <is>
          <t>0x606C</t>
        </is>
      </c>
      <c r="B547" s="47" t="inlineStr">
        <is>
          <t>DBG_FAULT_LOG</t>
        </is>
      </c>
      <c r="C547" s="48" t="inlineStr">
        <is>
          <t>4</t>
        </is>
      </c>
      <c r="D547" s="48" t="inlineStr">
        <is>
          <t>4</t>
        </is>
      </c>
      <c r="E547" s="49" t="inlineStr">
        <is>
          <t>ISL_LOST</t>
        </is>
      </c>
      <c r="F547" s="76" t="inlineStr">
        <is>
          <t>W1C</t>
        </is>
      </c>
      <c r="G547" s="51" t="inlineStr">
        <is>
          <t>ISL link lost to any CubeSat &gt; 500 ms.</t>
        </is>
      </c>
    </row>
    <row r="548" ht="32" customHeight="1">
      <c r="A548" s="52" t="inlineStr">
        <is>
          <t>0x606C</t>
        </is>
      </c>
      <c r="B548" s="53" t="inlineStr">
        <is>
          <t>DBG_FAULT_LOG</t>
        </is>
      </c>
      <c r="C548" s="54" t="inlineStr">
        <is>
          <t>3</t>
        </is>
      </c>
      <c r="D548" s="54" t="inlineStr">
        <is>
          <t>3</t>
        </is>
      </c>
      <c r="E548" s="55" t="inlineStr">
        <is>
          <t>GPS_ALL_LOST</t>
        </is>
      </c>
      <c r="F548" s="77" t="inlineStr">
        <is>
          <t>W1C</t>
        </is>
      </c>
      <c r="G548" s="57" t="inlineStr">
        <is>
          <t>All UAV GPS locks lost simultaneously.</t>
        </is>
      </c>
    </row>
    <row r="549" ht="32" customHeight="1">
      <c r="A549" s="58" t="inlineStr">
        <is>
          <t>0x606C</t>
        </is>
      </c>
      <c r="B549" s="59" t="inlineStr">
        <is>
          <t>DBG_FAULT_LOG</t>
        </is>
      </c>
      <c r="C549" s="60" t="inlineStr">
        <is>
          <t>2</t>
        </is>
      </c>
      <c r="D549" s="60" t="inlineStr">
        <is>
          <t>2</t>
        </is>
      </c>
      <c r="E549" s="16" t="inlineStr">
        <is>
          <t>CA_OSCILLATE</t>
        </is>
      </c>
      <c r="F549" s="17" t="inlineStr">
        <is>
          <t>W1C</t>
        </is>
      </c>
      <c r="G549" s="20" t="inlineStr">
        <is>
          <t>APF oscillation detected and damping activated.</t>
        </is>
      </c>
    </row>
    <row r="550" ht="32" customHeight="1">
      <c r="A550" s="69" t="inlineStr">
        <is>
          <t>0x606C</t>
        </is>
      </c>
      <c r="B550" s="70" t="inlineStr">
        <is>
          <t>DBG_FAULT_LOG</t>
        </is>
      </c>
      <c r="C550" s="71" t="inlineStr">
        <is>
          <t>1</t>
        </is>
      </c>
      <c r="D550" s="71" t="inlineStr">
        <is>
          <t>1</t>
        </is>
      </c>
      <c r="E550" s="11" t="inlineStr">
        <is>
          <t>ESTOP_MAN</t>
        </is>
      </c>
      <c r="F550" s="78" t="inlineStr">
        <is>
          <t>W1C</t>
        </is>
      </c>
      <c r="G550" s="15" t="inlineStr">
        <is>
          <t>Manual E-STOP from GCS command.</t>
        </is>
      </c>
    </row>
    <row r="551" ht="32" customHeight="1">
      <c r="A551" s="5" t="inlineStr">
        <is>
          <t>0x606C</t>
        </is>
      </c>
      <c r="B551" s="25" t="inlineStr">
        <is>
          <t>DBG_FAULT_LOG</t>
        </is>
      </c>
      <c r="C551" s="26" t="inlineStr">
        <is>
          <t>0</t>
        </is>
      </c>
      <c r="D551" s="26" t="inlineStr">
        <is>
          <t>0</t>
        </is>
      </c>
      <c r="E551" s="27" t="inlineStr">
        <is>
          <t>WDT_EXP</t>
        </is>
      </c>
      <c r="F551" s="72" t="inlineStr">
        <is>
          <t>W1C</t>
        </is>
      </c>
      <c r="G551" s="29" t="inlineStr">
        <is>
          <t>CVG watchdog timer expired.</t>
        </is>
      </c>
    </row>
  </sheetData>
  <mergeCells count="9">
    <mergeCell ref="A202:G202"/>
    <mergeCell ref="A296:G296"/>
    <mergeCell ref="A1:G1"/>
    <mergeCell ref="A484:G484"/>
    <mergeCell ref="A70:G70"/>
    <mergeCell ref="A136:G136"/>
    <mergeCell ref="A4:G4"/>
    <mergeCell ref="A390:G390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9" customWidth="1" min="4" max="4"/>
    <col width="10" customWidth="1" min="5" max="5"/>
    <col width="12" customWidth="1" min="6" max="6"/>
    <col width="44" customWidth="1" min="7" max="7"/>
  </cols>
  <sheetData>
    <row r="1" ht="26" customHeight="1">
      <c r="A1" s="1" t="inlineStr">
        <is>
          <t>AXI4-Lite Address Map — Convergence MVP  |  7 Subsystems  |  28 KB Total</t>
        </is>
      </c>
    </row>
    <row r="2" ht="28" customHeight="1">
      <c r="A2" s="3" t="inlineStr">
        <is>
          <t>Base Addr</t>
        </is>
      </c>
      <c r="B2" s="3" t="inlineStr">
        <is>
          <t>End Addr</t>
        </is>
      </c>
      <c r="C2" s="3" t="inlineStr">
        <is>
          <t>Subsystem</t>
        </is>
      </c>
      <c r="D2" s="3" t="inlineStr">
        <is>
          <t># Regs</t>
        </is>
      </c>
      <c r="E2" s="3" t="inlineStr">
        <is>
          <t># Fields</t>
        </is>
      </c>
      <c r="F2" s="3" t="inlineStr">
        <is>
          <t>Used (B)</t>
        </is>
      </c>
      <c r="G2" s="3" t="inlineStr">
        <is>
          <t>Notes</t>
        </is>
      </c>
    </row>
    <row r="3" ht="22" customHeight="1">
      <c r="A3" s="80" t="inlineStr">
        <is>
          <t>0x0000</t>
        </is>
      </c>
      <c r="B3" s="80" t="inlineStr">
        <is>
          <t>0x0FFF</t>
        </is>
      </c>
      <c r="C3" s="26" t="inlineStr">
        <is>
          <t>CubeSat 1</t>
        </is>
      </c>
      <c r="D3" s="81" t="n">
        <v>24</v>
      </c>
      <c r="E3" s="81" t="n">
        <v>65</v>
      </c>
      <c r="F3" s="81" t="n">
        <v>96</v>
      </c>
      <c r="G3" s="82" t="inlineStr">
        <is>
          <t>24 regs × 4B = 96B used / 4096B allocated (2% filled)</t>
        </is>
      </c>
    </row>
    <row r="4" ht="22" customHeight="1">
      <c r="A4" s="80" t="inlineStr">
        <is>
          <t>0x1000</t>
        </is>
      </c>
      <c r="B4" s="80" t="inlineStr">
        <is>
          <t>0x1FFF</t>
        </is>
      </c>
      <c r="C4" s="26" t="inlineStr">
        <is>
          <t>CubeSat 2</t>
        </is>
      </c>
      <c r="D4" s="81" t="n">
        <v>24</v>
      </c>
      <c r="E4" s="81" t="n">
        <v>65</v>
      </c>
      <c r="F4" s="81" t="n">
        <v>96</v>
      </c>
      <c r="G4" s="82" t="inlineStr">
        <is>
          <t>24 regs × 4B = 96B used / 4096B allocated (2% filled)</t>
        </is>
      </c>
    </row>
    <row r="5" ht="22" customHeight="1">
      <c r="A5" s="80" t="inlineStr">
        <is>
          <t>0x2000</t>
        </is>
      </c>
      <c r="B5" s="80" t="inlineStr">
        <is>
          <t>0x2FFF</t>
        </is>
      </c>
      <c r="C5" s="26" t="inlineStr">
        <is>
          <t>CubeSat 3</t>
        </is>
      </c>
      <c r="D5" s="81" t="n">
        <v>24</v>
      </c>
      <c r="E5" s="81" t="n">
        <v>65</v>
      </c>
      <c r="F5" s="81" t="n">
        <v>96</v>
      </c>
      <c r="G5" s="82" t="inlineStr">
        <is>
          <t>24 regs × 4B = 96B used / 4096B allocated (2% filled)</t>
        </is>
      </c>
    </row>
    <row r="6" ht="22" customHeight="1">
      <c r="A6" s="83" t="inlineStr">
        <is>
          <t>0x3000</t>
        </is>
      </c>
      <c r="B6" s="83" t="inlineStr">
        <is>
          <t>0x3FFF</t>
        </is>
      </c>
      <c r="C6" s="48" t="inlineStr">
        <is>
          <t>UAV 1</t>
        </is>
      </c>
      <c r="D6" s="84" t="n">
        <v>37</v>
      </c>
      <c r="E6" s="84" t="n">
        <v>93</v>
      </c>
      <c r="F6" s="84" t="n">
        <v>148</v>
      </c>
      <c r="G6" s="85" t="inlineStr">
        <is>
          <t>37 regs × 4B = 148B used / 4096B allocated (3% filled)</t>
        </is>
      </c>
    </row>
    <row r="7" ht="22" customHeight="1">
      <c r="A7" s="83" t="inlineStr">
        <is>
          <t>0x4000</t>
        </is>
      </c>
      <c r="B7" s="83" t="inlineStr">
        <is>
          <t>0x4FFF</t>
        </is>
      </c>
      <c r="C7" s="48" t="inlineStr">
        <is>
          <t>UAV 2</t>
        </is>
      </c>
      <c r="D7" s="84" t="n">
        <v>37</v>
      </c>
      <c r="E7" s="84" t="n">
        <v>93</v>
      </c>
      <c r="F7" s="84" t="n">
        <v>148</v>
      </c>
      <c r="G7" s="85" t="inlineStr">
        <is>
          <t>37 regs × 4B = 148B used / 4096B allocated (3% filled)</t>
        </is>
      </c>
    </row>
    <row r="8" ht="22" customHeight="1">
      <c r="A8" s="83" t="inlineStr">
        <is>
          <t>0x5000</t>
        </is>
      </c>
      <c r="B8" s="83" t="inlineStr">
        <is>
          <t>0x5FFF</t>
        </is>
      </c>
      <c r="C8" s="48" t="inlineStr">
        <is>
          <t>UAV 3</t>
        </is>
      </c>
      <c r="D8" s="84" t="n">
        <v>37</v>
      </c>
      <c r="E8" s="84" t="n">
        <v>93</v>
      </c>
      <c r="F8" s="84" t="n">
        <v>148</v>
      </c>
      <c r="G8" s="85" t="inlineStr">
        <is>
          <t>37 regs × 4B = 148B used / 4096B allocated (3% filled)</t>
        </is>
      </c>
    </row>
    <row r="9" ht="22" customHeight="1">
      <c r="A9" s="86" t="inlineStr">
        <is>
          <t>0x6000</t>
        </is>
      </c>
      <c r="B9" s="86" t="inlineStr">
        <is>
          <t>0x6FFF</t>
        </is>
      </c>
      <c r="C9" s="37" t="inlineStr">
        <is>
          <t>Convergence Engine</t>
        </is>
      </c>
      <c r="D9" s="87" t="n">
        <v>28</v>
      </c>
      <c r="E9" s="87" t="n">
        <v>67</v>
      </c>
      <c r="F9" s="87" t="n">
        <v>112</v>
      </c>
      <c r="G9" s="88" t="inlineStr">
        <is>
          <t>28 regs × 4B = 112B used / 4096B allocated (2% filled)</t>
        </is>
      </c>
    </row>
    <row r="10" ht="24" customHeight="1">
      <c r="A10" s="89" t="inlineStr">
        <is>
          <t>0x0000</t>
        </is>
      </c>
      <c r="B10" s="89" t="inlineStr">
        <is>
          <t>0x6FFF</t>
        </is>
      </c>
      <c r="C10" s="90" t="inlineStr">
        <is>
          <t>GRAND TOTAL</t>
        </is>
      </c>
      <c r="D10" s="90">
        <f>SUM(D3:D9)</f>
        <v/>
      </c>
      <c r="E10" s="90">
        <f>SUM(E3:E9)</f>
        <v/>
      </c>
      <c r="F10" s="90">
        <f>7*4096</f>
        <v/>
      </c>
      <c r="G10" s="91" t="inlineStr">
        <is>
          <t>211 registers, 541 bit-fields, 7 subsystems, 28 KB address space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24" customWidth="1" min="4" max="4"/>
    <col width="22" customWidth="1" min="5" max="5"/>
    <col width="40" customWidth="1" min="6" max="6"/>
  </cols>
  <sheetData>
    <row r="1" ht="26" customHeight="1">
      <c r="A1" s="1" t="inlineStr">
        <is>
          <t>Fixed-Point Format Quick Reference — Register Encoding Guide</t>
        </is>
      </c>
    </row>
    <row r="2" ht="28" customHeight="1">
      <c r="A2" s="3" t="inlineStr">
        <is>
          <t>Q Format</t>
        </is>
      </c>
      <c r="B2" s="3" t="inlineStr">
        <is>
          <t>Bits</t>
        </is>
      </c>
      <c r="C2" s="3" t="inlineStr">
        <is>
          <t>Real Range</t>
        </is>
      </c>
      <c r="D2" s="3" t="inlineStr">
        <is>
          <t>Encoding: reg = …</t>
        </is>
      </c>
      <c r="E2" s="3" t="inlineStr">
        <is>
          <t>Example Value</t>
        </is>
      </c>
      <c r="F2" s="3" t="inlineStr">
        <is>
          <t>Used In (registers)</t>
        </is>
      </c>
    </row>
    <row r="3" ht="24" customHeight="1">
      <c r="A3" s="92" t="inlineStr">
        <is>
          <t>Q4.12</t>
        </is>
      </c>
      <c r="B3" s="92" t="inlineStr">
        <is>
          <t>16-bit s</t>
        </is>
      </c>
      <c r="C3" s="92" t="inlineStr">
        <is>
          <t>[-16, +15.9998]</t>
        </is>
      </c>
      <c r="D3" s="92" t="inlineStr">
        <is>
          <t>round(real × 4096)</t>
        </is>
      </c>
      <c r="E3" s="93" t="inlineStr">
        <is>
          <t>1.5 → 0x1800 = 6144</t>
        </is>
      </c>
      <c r="F3" s="93" t="inlineStr">
        <is>
          <t>PID gains Kp/Ki/Kd (all ADCS + UAV rate loops)</t>
        </is>
      </c>
    </row>
    <row r="4" ht="24" customHeight="1">
      <c r="A4" s="94" t="inlineStr">
        <is>
          <t>Q1.15</t>
        </is>
      </c>
      <c r="B4" s="94" t="inlineStr">
        <is>
          <t>16-bit s</t>
        </is>
      </c>
      <c r="C4" s="94" t="inlineStr">
        <is>
          <t>[-1.0, +0.9999]</t>
        </is>
      </c>
      <c r="D4" s="94" t="inlineStr">
        <is>
          <t>round(real × 32768)</t>
        </is>
      </c>
      <c r="E4" s="95" t="inlineStr">
        <is>
          <t>0.5 → 0x4000 = 16384</t>
        </is>
      </c>
      <c r="F4" s="95" t="inlineStr">
        <is>
          <t>Quaternion components, CORDIC sin/cos outputs</t>
        </is>
      </c>
    </row>
    <row r="5" ht="24" customHeight="1">
      <c r="A5" s="92" t="inlineStr">
        <is>
          <t>Q4.28</t>
        </is>
      </c>
      <c r="B5" s="92" t="inlineStr">
        <is>
          <t>32-bit s</t>
        </is>
      </c>
      <c r="C5" s="92" t="inlineStr">
        <is>
          <t>[-16, +15.9999]</t>
        </is>
      </c>
      <c r="D5" s="92" t="inlineStr">
        <is>
          <t>round(real × 2^28)</t>
        </is>
      </c>
      <c r="E5" s="93" t="inlineStr">
        <is>
          <t>5.0 → 0x50000000</t>
        </is>
      </c>
      <c r="F5" s="93" t="inlineStr">
        <is>
          <t>APF k_rep/k_damp/F_MAX, CVG_SCORE value</t>
        </is>
      </c>
    </row>
    <row r="6" ht="24" customHeight="1">
      <c r="A6" s="94" t="inlineStr">
        <is>
          <t>Q10.22</t>
        </is>
      </c>
      <c r="B6" s="94" t="inlineStr">
        <is>
          <t>32-bit s</t>
        </is>
      </c>
      <c r="C6" s="94" t="inlineStr">
        <is>
          <t>[-1023, +1023] m</t>
        </is>
      </c>
      <c r="D6" s="94" t="inlineStr">
        <is>
          <t>round(real × 2^22)</t>
        </is>
      </c>
      <c r="E6" s="95" t="inlineStr">
        <is>
          <t>1.0 m → 0x00400000</t>
        </is>
      </c>
      <c r="F6" s="95" t="inlineStr">
        <is>
          <t>Position states, formation error threshold</t>
        </is>
      </c>
    </row>
    <row r="7" ht="24" customHeight="1">
      <c r="A7" s="92" t="inlineStr">
        <is>
          <t>Q3.29</t>
        </is>
      </c>
      <c r="B7" s="92" t="inlineStr">
        <is>
          <t>32-bit s</t>
        </is>
      </c>
      <c r="C7" s="92" t="inlineStr">
        <is>
          <t>[-4, +3.9999] rad</t>
        </is>
      </c>
      <c r="D7" s="92" t="inlineStr">
        <is>
          <t>round(real × 2^29)</t>
        </is>
      </c>
      <c r="E7" s="93" t="inlineStr">
        <is>
          <t>π → 0x6487ED51</t>
        </is>
      </c>
      <c r="F7" s="93" t="inlineStr">
        <is>
          <t>Euler angles roll/pitch/yaw, orbit inclination</t>
        </is>
      </c>
    </row>
    <row r="8" ht="24" customHeight="1">
      <c r="A8" s="94" t="inlineStr">
        <is>
          <t>Q1.30</t>
        </is>
      </c>
      <c r="B8" s="94" t="inlineStr">
        <is>
          <t>32-bit s</t>
        </is>
      </c>
      <c r="C8" s="94" t="inlineStr">
        <is>
          <t>[-2, +1.9999]</t>
        </is>
      </c>
      <c r="D8" s="94" t="inlineStr">
        <is>
          <t>round(real × 2^30)</t>
        </is>
      </c>
      <c r="E8" s="95" t="inlineStr">
        <is>
          <t>0.1 → 0x0199999A</t>
        </is>
      </c>
      <c r="F8" s="95" t="inlineStr">
        <is>
          <t>Kalman gain K, rotation matrix elements</t>
        </is>
      </c>
    </row>
    <row r="9" ht="24" customHeight="1">
      <c r="A9" s="92" t="inlineStr">
        <is>
          <t>Integer</t>
        </is>
      </c>
      <c r="B9" s="92" t="inlineStr">
        <is>
          <t>16/32b u</t>
        </is>
      </c>
      <c r="C9" s="92" t="inlineStr">
        <is>
          <t>[0, 2^N−1]</t>
        </is>
      </c>
      <c r="D9" s="92" t="inlineStr">
        <is>
          <t>direct value</t>
        </is>
      </c>
      <c r="E9" s="93" t="inlineStr">
        <is>
          <t>500 m → 0x01F4</t>
        </is>
      </c>
      <c r="F9" s="93" t="inlineStr">
        <is>
          <t>Distances (metres), waypoint count, timeouts</t>
        </is>
      </c>
    </row>
    <row r="10" ht="24" customHeight="1">
      <c r="A10" s="94" t="inlineStr">
        <is>
          <t>Bitmask</t>
        </is>
      </c>
      <c r="B10" s="94" t="inlineStr">
        <is>
          <t>32-bit</t>
        </is>
      </c>
      <c r="C10" s="94" t="inlineStr">
        <is>
          <t>flags</t>
        </is>
      </c>
      <c r="D10" s="94" t="inlineStr">
        <is>
          <t>each bit = 1 boolean</t>
        </is>
      </c>
      <c r="E10" s="95" t="inlineStr">
        <is>
          <t>0x07 = bits 0,1,2</t>
        </is>
      </c>
      <c r="F10" s="95" t="inlineStr">
        <is>
          <t>CTRL enable bits, TLM_ENABLE, DBG_FAULT_LOG</t>
        </is>
      </c>
    </row>
    <row r="11" ht="24" customHeight="1">
      <c r="A11" s="92" t="inlineStr">
        <is>
          <t>Unlock key</t>
        </is>
      </c>
      <c r="B11" s="92" t="inlineStr">
        <is>
          <t>field</t>
        </is>
      </c>
      <c r="C11" s="92" t="inlineStr">
        <is>
          <t>special seq</t>
        </is>
      </c>
      <c r="D11" s="92" t="inlineStr">
        <is>
          <t>exact pattern required</t>
        </is>
      </c>
      <c r="E11" s="93" t="inlineStr">
        <is>
          <t>ARM_KEY: 0xA5</t>
        </is>
      </c>
      <c r="F11" s="93" t="inlineStr">
        <is>
          <t>UAV ARM_KEY; CS ESTOP_CLR: 0xA (4-bit)</t>
        </is>
      </c>
    </row>
    <row r="12" ht="24" customHeight="1">
      <c r="A12" s="94" t="inlineStr">
        <is>
          <t>Signed hex</t>
        </is>
      </c>
      <c r="B12" s="94" t="inlineStr">
        <is>
          <t>32-bit s</t>
        </is>
      </c>
      <c r="C12" s="94" t="inlineStr">
        <is>
          <t>device range</t>
        </is>
      </c>
      <c r="D12" s="94" t="inlineStr">
        <is>
          <t>IEEE-754 or Q</t>
        </is>
      </c>
      <c r="E12" s="95" t="inlineStr">
        <is>
          <t>epoch → split 64-bit</t>
        </is>
      </c>
      <c r="F12" s="95" t="inlineStr">
        <is>
          <t>TLE_EPOCH_HI/LO (IEEE-754 double)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2026-03-27T15:54:51Z</dcterms:created>
  <dcterms:modified xmlns:dcterms="http://purl.org/dc/terms/" xmlns:xsi="http://www.w3.org/2001/XMLSchema-instance" xsi:type="dcterms:W3CDTF">2026-03-27T15:54:52Z</dcterms:modified>
</cp:coreProperties>
</file>