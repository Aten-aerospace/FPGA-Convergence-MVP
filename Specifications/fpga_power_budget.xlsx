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 Budget" sheetId="1" state="visible" r:id="rId3"/>
    <sheet name="Power Breakdown" sheetId="2" state="visible" r:id="rId4"/>
    <sheet name="Recommendations" sheetId="3" state="visible" r:id="rId5"/>
    <sheet name="XPE 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<sst xmlns="http://schemas.openxmlformats.org/spreadsheetml/2006/main" count="182" uniqueCount="160">
  <si>
    <t xml:space="preserve">Convergence MVP FPGA — Power Budget Allocation</t>
  </si>
  <si>
    <t xml:space="preserve">Target: Xilinx Artix-7 XC7A35T (CPG236)  |  Total Budget: 5,000 mW  |  Ambient: 25 °C</t>
  </si>
  <si>
    <t xml:space="preserve">Power Estimation Method: Xilinx Power Estimator (XPE) activity factors — Logic=12.5%, I/O=25%, BRAM=50%, DSP=25%</t>
  </si>
  <si>
    <t xml:space="preserve">Subsystem</t>
  </si>
  <si>
    <t xml:space="preserve">LUTs</t>
  </si>
  <si>
    <t xml:space="preserve">FFs</t>
  </si>
  <si>
    <t xml:space="preserve">DSPs</t>
  </si>
  <si>
    <t xml:space="preserve">BRAMs</t>
  </si>
  <si>
    <t xml:space="preserve">Dyn Logic
(mW)</t>
  </si>
  <si>
    <t xml:space="preserve">DSP48
(mW)</t>
  </si>
  <si>
    <t xml:space="preserve">BRAM
(mW)</t>
  </si>
  <si>
    <t xml:space="preserve">I/O
(mW)</t>
  </si>
  <si>
    <t xml:space="preserve">Est. Power
(mW)</t>
  </si>
  <si>
    <t xml:space="preserve">% of
Budget</t>
  </si>
  <si>
    <t xml:space="preserve">Notes</t>
  </si>
  <si>
    <t xml:space="preserve">CS1 — CubeSat 1</t>
  </si>
  <si>
    <t xml:space="preserve">IMU SPI ctrl, EKF Kalman filter, ADCS attitude solver, reaction-wheel PID, magnetorquer PWM, laser gimbal stepper, ISL parallel output, telemetry UART</t>
  </si>
  <si>
    <t xml:space="preserve">CS2 — CubeSat 2</t>
  </si>
  <si>
    <t xml:space="preserve">Identical architecture to CS1. ISL data bus uses ODDR output primitives. Shared bus arbitration adds ~2 LUTs vs CS1.</t>
  </si>
  <si>
    <t xml:space="preserve">CS3 — CubeSat 3</t>
  </si>
  <si>
    <t xml:space="preserve">Identical architecture to CS1/CS2. Placed in Bank 15 — slight I/O power difference due to bank capacitance.</t>
  </si>
  <si>
    <t xml:space="preserve">UAV1 — UAV 1</t>
  </si>
  <si>
    <t xml:space="preserve">ICM-42688 SPI ctrl, GPS NMEA UART parser, BMP388 baro I2C, ToF echo capture, 4× ESC PWM, 2× servo PWM, MAVLink UART (GS + inter-UAV)</t>
  </si>
  <si>
    <t xml:space="preserve">UAV2 — UAV 2</t>
  </si>
  <si>
    <t xml:space="preserve">Identical architecture to UAV1. MAVLink inter-UAV comms routed through shared arbiter.</t>
  </si>
  <si>
    <t xml:space="preserve">UAV3 — UAV 3</t>
  </si>
  <si>
    <t xml:space="preserve">Identical architecture to UAV1/UAV2.</t>
  </si>
  <si>
    <t xml:space="preserve">Convergence Engine</t>
  </si>
  <si>
    <t xml:space="preserve">Formation geometry solver (10 Hz), vehicle assignment optimizer, CubeSat–UAV laser pointing, EKF data fusion, orbit propagator (SGP4 1 Hz). Most compute-intensive block.</t>
  </si>
  <si>
    <t xml:space="preserve">Clock Gen (MMCM/PLL)</t>
  </si>
  <si>
    <t xml:space="preserve">MMCM0: 50→100 MHz (VCO=800 MHz). Static MMCM power ~125 mW included in static budget. Dynamic switching of BUFG ~0.8 mW.</t>
  </si>
  <si>
    <t xml:space="preserve">I/O Buffers (shared)</t>
  </si>
  <si>
    <t xml:space="preserve">Shared/top-level pins: 8× LED, 4× test points, 2× GS UART, sys_clk IBUFG, reset. LVCMOS33 @ 25% toggle rate.</t>
  </si>
  <si>
    <t xml:space="preserve">Static Leakage</t>
  </si>
  <si>
    <t xml:space="preserve">Artix-7 XC7A35T quiescent leakage at 25 °C ≈ 50 mW (core) + 130 mW (MMCM static + I/O termination). Increases ~2× at 85 °C.</t>
  </si>
  <si>
    <t xml:space="preserve">TOTAL</t>
  </si>
  <si>
    <t xml:space="preserve">POWER SUMMARY</t>
  </si>
  <si>
    <t xml:space="preserve">Total Budget (mW)</t>
  </si>
  <si>
    <t xml:space="preserve">Total Estimated (mW)</t>
  </si>
  <si>
    <t xml:space="preserve">Margin (mW)</t>
  </si>
  <si>
    <t xml:space="preserve">Margin (%)</t>
  </si>
  <si>
    <t xml:space="preserve">LUT Utilization</t>
  </si>
  <si>
    <t xml:space="preserve">FF Utilization</t>
  </si>
  <si>
    <t xml:space="preserve">DSP Utilization</t>
  </si>
  <si>
    <t xml:space="preserve">BRAM Utilization</t>
  </si>
  <si>
    <t xml:space="preserve">Artix-7 XC7A35T Resources: 20,800 LUTs  |  41,600 FFs  |  90 DSP48E1  |  50 BRAM36  |  106 User I/O  |  1 MMCM</t>
  </si>
  <si>
    <t xml:space="preserve">Power Component Breakdown by Subsystem</t>
  </si>
  <si>
    <t xml:space="preserve">Dynamic Logic
(mW)</t>
  </si>
  <si>
    <t xml:space="preserve">Total
(mW)</t>
  </si>
  <si>
    <t xml:space="preserve">Clock Gen</t>
  </si>
  <si>
    <t xml:space="preserve">I/O Buffers</t>
  </si>
  <si>
    <t xml:space="preserve">Power Optimization Recommendations</t>
  </si>
  <si>
    <t xml:space="preserve">Current Status: WITHIN BUDGET  —  Estimated 729.8 mW used of 5,000 mW  (14.6%)  |  Margin: 4,270.2 mW (85.4%)</t>
  </si>
  <si>
    <t xml:space="preserve">#</t>
  </si>
  <si>
    <t xml:space="preserve">Recommendation</t>
  </si>
  <si>
    <t xml:space="preserve">Detail / Implementation</t>
  </si>
  <si>
    <t xml:space="preserve">Power Impact</t>
  </si>
  <si>
    <t xml:space="preserve">Priority</t>
  </si>
  <si>
    <t xml:space="preserve">1</t>
  </si>
  <si>
    <t xml:space="preserve">SPI Bus Time-Multiplexing</t>
  </si>
  <si>
    <t xml:space="preserve">All 3 CubeSat IMU buses are independent. If consolidated to 1 shared SPI master with 3-way chip-select mux (at reduced 1 MHz max rate), I/O switching power drops ~8 mW. Trade-off: latency increases 3× for IMU reads — acceptable if EKF runs at 100 Hz.</t>
  </si>
  <si>
    <t xml:space="preserve">−8 mW</t>
  </si>
  <si>
    <t xml:space="preserve">LOW</t>
  </si>
  <si>
    <t xml:space="preserve">2</t>
  </si>
  <si>
    <t xml:space="preserve">Clock Gate Idle Subsystems</t>
  </si>
  <si>
    <t xml:space="preserve">When a CubeSat or UAV subsystem is in standby (e.g., during eclipse or maintenance hold), apply fine-grained clock gating (ICG cells) to freeze all FFs in that subsystem. Artix-7 BUFGCE enables sub-nanosecond gating. Estimated saving: ~35 mW per idle subsystem.</t>
  </si>
  <si>
    <t xml:space="preserve">−35 mW/unit</t>
  </si>
  <si>
    <t xml:space="preserve">HIGH</t>
  </si>
  <si>
    <t xml:space="preserve">3</t>
  </si>
  <si>
    <t xml:space="preserve">DSP48 Sharing in Convergence Engine</t>
  </si>
  <si>
    <t xml:space="preserve">The convergence engine uses 6 DSP48s. If the formation geometry solver and EKF time-multiplex on the same DSP48 slice (using the pipeline register), DSP count reduces to 4 (-2 DSP48s). Power saving: ~20 mW. Requires 2-stage pipeline redesign.</t>
  </si>
  <si>
    <t xml:space="preserve">−20 mW</t>
  </si>
  <si>
    <t xml:space="preserve">MED</t>
  </si>
  <si>
    <t xml:space="preserve">4</t>
  </si>
  <si>
    <t xml:space="preserve">BRAM Read-Port Power Gating</t>
  </si>
  <si>
    <t xml:space="preserve">BRAMs in idle EKF/telemetry buffers can have their read-enable deasserted when not actively streaming. Artix-7 BRAM supports ENB pin per port. Estimated saving: 4–6 mW per BRAM at 50% duty cycle.</t>
  </si>
  <si>
    <t xml:space="preserve">−4 to −6 mW/BRAM</t>
  </si>
  <si>
    <t xml:space="preserve">5</t>
  </si>
  <si>
    <t xml:space="preserve">I/O Drive Strength Reduction</t>
  </si>
  <si>
    <t xml:space="preserve">LVCMOS33 at 12 mA drive is the default. Reducing PWM, UART, and LED outputs to 4 mA (sufficient for on-board loads) cuts I/O switching current. Estimated saving: ~10–15 mW across all high-toggle-rate outputs.</t>
  </si>
  <si>
    <t xml:space="preserve">−10 to −15 mW</t>
  </si>
  <si>
    <t xml:space="preserve">6</t>
  </si>
  <si>
    <t xml:space="preserve">EKF Fixed-Point Precision Reduction</t>
  </si>
  <si>
    <t xml:space="preserve">The EKF currently uses 48-bit state vectors (implied by BRAM size). Reducing to 32-bit fixed-point for velocity (lower SNR requirement) removes 1 BRAM per CubeSat subsystem (−3 BRAMs total). Power saving: ~36 mW.</t>
  </si>
  <si>
    <t xml:space="preserve">−36 mW</t>
  </si>
  <si>
    <t xml:space="preserve">7</t>
  </si>
  <si>
    <t xml:space="preserve">Orbit Propagator Interval Extension</t>
  </si>
  <si>
    <t xml:space="preserve">ctrl_1hz orbit propagation is the slowest loop. Extending to 0.1 Hz (10-second interval) halves the switching activity of the propagator logic. Impact on orbital accuracy is negligible for LEO with &lt;100 km baseline. Saving: ~2 mW.</t>
  </si>
  <si>
    <t xml:space="preserve">−2 mW</t>
  </si>
  <si>
    <t xml:space="preserve">8</t>
  </si>
  <si>
    <t xml:space="preserve">Thermal Derating for On-Orbit Operation</t>
  </si>
  <si>
    <t xml:space="preserve">At 85 °C operating temperature (worst-case LEO illuminated orbit), leakage roughly doubles to ~260 mW. This is still within the 5 W budget but reduces margin by 130 mW. Verify MMCM static power at Tj=85 °C using Xilinx Power Estimator.</t>
  </si>
  <si>
    <t xml:space="preserve">RISK: +130 mW</t>
  </si>
  <si>
    <t xml:space="preserve">9</t>
  </si>
  <si>
    <t xml:space="preserve">Power Monitor Implementation</t>
  </si>
  <si>
    <t xml:space="preserve">Instantiate a simple on-chip power monitor: read FPGA DNA/temperature via XADC (built into Artix-7), monitor VCCINTand VCCO rails. Feed to telemetry UART. No additional I/O required — XADC uses dedicated analog inputs.</t>
  </si>
  <si>
    <t xml:space="preserve">Monitoring only</t>
  </si>
  <si>
    <t xml:space="preserve">10</t>
  </si>
  <si>
    <t xml:space="preserve">If Over Budget: Subsystem Offload</t>
  </si>
  <si>
    <t xml:space="preserve">If a future revision exceeds 5 W budget, consider offloading CubeSat ADCS to a dedicated STM32H7 co-processor via SPI. This removes ~195 mW (3× CubeSat subsystems) from FPGA at the cost of 1 SPI interface.</t>
  </si>
  <si>
    <t xml:space="preserve">−195 mW (if needed)</t>
  </si>
  <si>
    <t xml:space="preserve">CONTINGENCY</t>
  </si>
  <si>
    <t xml:space="preserve">Xilinx Power Estimator (XPE) Assumptions</t>
  </si>
  <si>
    <t xml:space="preserve">PARAMETER</t>
  </si>
  <si>
    <t xml:space="preserve">VALUE</t>
  </si>
  <si>
    <t xml:space="preserve">NOTES</t>
  </si>
  <si>
    <t xml:space="preserve">Device</t>
  </si>
  <si>
    <t xml:space="preserve">XC7A35T</t>
  </si>
  <si>
    <t xml:space="preserve">Artix-7, -1 speed grade</t>
  </si>
  <si>
    <t xml:space="preserve">Package</t>
  </si>
  <si>
    <t xml:space="preserve">CPG236</t>
  </si>
  <si>
    <t xml:space="preserve">236-pin BGA</t>
  </si>
  <si>
    <t xml:space="preserve">Ambient Temperature (Ta)</t>
  </si>
  <si>
    <t xml:space="preserve">25 °C</t>
  </si>
  <si>
    <t xml:space="preserve">Nominal; 85 °C worst-case for orbit</t>
  </si>
  <si>
    <t xml:space="preserve">Junction Temperature (Tj)</t>
  </si>
  <si>
    <t xml:space="preserve">~45 °C</t>
  </si>
  <si>
    <t xml:space="preserve">Estimated at nominal power; verify with XPE</t>
  </si>
  <si>
    <t xml:space="preserve">VCCINT (Core Voltage)</t>
  </si>
  <si>
    <t xml:space="preserve">1.00 V</t>
  </si>
  <si>
    <t xml:space="preserve">Artix-7 nominal</t>
  </si>
  <si>
    <t xml:space="preserve">VCCO Bank 14/15 (I/O)</t>
  </si>
  <si>
    <t xml:space="preserve">3.30 V</t>
  </si>
  <si>
    <t xml:space="preserve">LVCMOS33</t>
  </si>
  <si>
    <t xml:space="preserve">VCCO Bank 34/35 (I/O)</t>
  </si>
  <si>
    <t xml:space="preserve">Primary Clock Frequency</t>
  </si>
  <si>
    <t xml:space="preserve">50 MHz</t>
  </si>
  <si>
    <t xml:space="preserve">sys_clk on E3</t>
  </si>
  <si>
    <t xml:space="preserve">Logic Toggle Rate (α)</t>
  </si>
  <si>
    <t xml:space="preserve">12.5%</t>
  </si>
  <si>
    <t xml:space="preserve">Typical for control logic; conservative</t>
  </si>
  <si>
    <t xml:space="preserve">I/O Toggle Rate</t>
  </si>
  <si>
    <t xml:space="preserve">25%</t>
  </si>
  <si>
    <t xml:space="preserve">SPI: 50%, UART: 12.5%, PWM: 50% avg → 25%</t>
  </si>
  <si>
    <t xml:space="preserve">BRAM Activity Rate</t>
  </si>
  <si>
    <t xml:space="preserve">50%</t>
  </si>
  <si>
    <t xml:space="preserve">Read during EKF/telemetry pass</t>
  </si>
  <si>
    <t xml:space="preserve">DSP48 Activity Rate</t>
  </si>
  <si>
    <t xml:space="preserve">Matrix multiply bursts, idle between EKF cycles</t>
  </si>
  <si>
    <t xml:space="preserve">Static (Quiescent) Power</t>
  </si>
  <si>
    <t xml:space="preserve">180 mW</t>
  </si>
  <si>
    <t xml:space="preserve">Includes MMCM static ~125 mW + core leakage ~55 mW</t>
  </si>
  <si>
    <t xml:space="preserve">Power Method</t>
  </si>
  <si>
    <t xml:space="preserve">Switching-activity estimate</t>
  </si>
  <si>
    <t xml:space="preserve">Use Xilinx XPE or Vivado Power Analysis with VCD for accuracy</t>
  </si>
  <si>
    <t xml:space="preserve">LUT Power Model</t>
  </si>
  <si>
    <t xml:space="preserve">~0.08 mW/LUT</t>
  </si>
  <si>
    <t xml:space="preserve">At 50 MHz, 12.5% toggle, LVCMOS33</t>
  </si>
  <si>
    <t xml:space="preserve">FF Power Model</t>
  </si>
  <si>
    <t xml:space="preserve">~0.02 mW/FF</t>
  </si>
  <si>
    <t xml:space="preserve">At 50 MHz, 12.5% toggle</t>
  </si>
  <si>
    <t xml:space="preserve">DSP48 Power Model</t>
  </si>
  <si>
    <t xml:space="preserve">~10 mW/DSP</t>
  </si>
  <si>
    <t xml:space="preserve">At 100 MHz (clk_100mhz domain), 25% activity</t>
  </si>
  <si>
    <t xml:space="preserve">BRAM Power Model</t>
  </si>
  <si>
    <t xml:space="preserve">~12 mW/BRAM36</t>
  </si>
  <si>
    <t xml:space="preserve">At 50 MHz, 50% read-enable activity</t>
  </si>
  <si>
    <t xml:space="preserve">LVCMOS33 I/O Power</t>
  </si>
  <si>
    <t xml:space="preserve">~1.5 mW/pin</t>
  </si>
  <si>
    <t xml:space="preserve">At 25% toggle, 8 mA drive, 50 MHz max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</si>
</sst>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7A1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A7A1A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1A7A1A"/>
      <name val="Arial"/>
      <family val="0"/>
      <charset val="1"/>
    </font>
    <font>
      <sz val="10"/>
      <color rgb="FFCC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E8E8E8"/>
      </patternFill>
    </fill>
    <fill>
      <patternFill patternType="solid">
        <fgColor rgb="FFD5F5E3"/>
        <bgColor rgb="FFE2EFDA"/>
      </patternFill>
    </fill>
    <fill>
      <patternFill patternType="solid">
        <fgColor rgb="FFFCF3CF"/>
        <bgColor rgb="FFFFF2CC"/>
      </patternFill>
    </fill>
    <fill>
      <patternFill patternType="solid">
        <fgColor rgb="FFF9EBEA"/>
        <bgColor rgb="FFF2F2F2"/>
      </patternFill>
    </fill>
    <fill>
      <patternFill patternType="solid">
        <fgColor rgb="FFEBD5F9"/>
        <bgColor rgb="FFE8DAEF"/>
      </patternFill>
    </fill>
    <fill>
      <patternFill patternType="solid">
        <fgColor rgb="FFFDEBD0"/>
        <bgColor rgb="FFFFF2CC"/>
      </patternFill>
    </fill>
    <fill>
      <patternFill patternType="solid">
        <fgColor rgb="FFE8DAEF"/>
        <bgColor rgb="FFEBD5F9"/>
      </patternFill>
    </fill>
    <fill>
      <patternFill patternType="solid">
        <fgColor rgb="FFFCE4D6"/>
        <bgColor rgb="FFFDEBD0"/>
      </patternFill>
    </fill>
    <fill>
      <patternFill patternType="solid">
        <fgColor rgb="FFE8E8E8"/>
        <bgColor rgb="FFE2EFDA"/>
      </patternFill>
    </fill>
    <fill>
      <patternFill patternType="solid">
        <fgColor rgb="FFFFF2CC"/>
        <bgColor rgb="FFFCF3CF"/>
      </patternFill>
    </fill>
    <fill>
      <patternFill patternType="solid">
        <fgColor rgb="FFE2EFDA"/>
        <bgColor rgb="FFE8E8E8"/>
      </patternFill>
    </fill>
    <fill>
      <patternFill patternType="solid">
        <fgColor rgb="FFFFFFFF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DEBD0"/>
      <rgbColor rgb="FFFF00FF"/>
      <rgbColor rgb="FF00FFFF"/>
      <rgbColor rgb="FF800000"/>
      <rgbColor rgb="FF1A7A1A"/>
      <rgbColor rgb="FF000080"/>
      <rgbColor rgb="FF808000"/>
      <rgbColor rgb="FF800080"/>
      <rgbColor rgb="FF008080"/>
      <rgbColor rgb="FFCCCCCC"/>
      <rgbColor rgb="FF878787"/>
      <rgbColor rgb="FFF2F2F2"/>
      <rgbColor rgb="FFC0504D"/>
      <rgbColor rgb="FFFCF3CF"/>
      <rgbColor rgb="FFE2EFDA"/>
      <rgbColor rgb="FF660066"/>
      <rgbColor rgb="FFFF8080"/>
      <rgbColor rgb="FF0066CC"/>
      <rgbColor rgb="FFD9D9D9"/>
      <rgbColor rgb="FF000080"/>
      <rgbColor rgb="FFFF00FF"/>
      <rgbColor rgb="FFF9EBEA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FF2CC"/>
      <rgbColor rgb="FFE8DAEF"/>
      <rgbColor rgb="FFE8E8E8"/>
      <rgbColor rgb="FFEBD5F9"/>
      <rgbColor rgb="FFFCE4D6"/>
      <rgbColor rgb="FF4F81BD"/>
      <rgbColor rgb="FF33CCCC"/>
      <rgbColor rgb="FF9BBB59"/>
      <rgbColor rgb="FFF9F9F9"/>
      <rgbColor rgb="FFFF9900"/>
      <rgbColor rgb="FFFF6600"/>
      <rgbColor rgb="FF8064A2"/>
      <rgbColor rgb="FF999999"/>
      <rgbColor rgb="FF1F3864"/>
      <rgbColor rgb="FF339966"/>
      <rgbColor rgb="FF003300"/>
      <rgbColor rgb="FF444444"/>
      <rgbColor rgb="FF993300"/>
      <rgbColor rgb="FF993366"/>
      <rgbColor rgb="FF555555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by Component per Subsystem (mW)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'Power Breakdown'!B2</c:f>
              <c:strCache>
                <c:ptCount val="1"/>
                <c:pt idx="0">
                  <c:v>Dynamic Logic
(mW)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'Power Breakdown'!$A$3:$A$12</c:f>
              <c:strCache>
                <c:ptCount val="10"/>
                <c:pt idx="0">
                  <c:v>CS1 — CubeSat 1</c:v>
                </c:pt>
                <c:pt idx="1">
                  <c:v>CS2 — CubeSat 2</c:v>
                </c:pt>
                <c:pt idx="2">
                  <c:v>CS3 — CubeSat 3</c:v>
                </c:pt>
                <c:pt idx="3">
                  <c:v>UAV1 — UAV 1</c:v>
                </c:pt>
                <c:pt idx="4">
                  <c:v>UAV2 — UAV 2</c:v>
                </c:pt>
                <c:pt idx="5">
                  <c:v>UAV3 — UAV 3</c:v>
                </c:pt>
                <c:pt idx="6">
                  <c:v>Convergence Engine</c:v>
                </c:pt>
                <c:pt idx="7">
                  <c:v>Clock Gen</c:v>
                </c:pt>
                <c:pt idx="8">
                  <c:v>I/O Buffers</c:v>
                </c:pt>
                <c:pt idx="9">
                  <c:v>Static Leakage</c:v>
                </c:pt>
              </c:strCache>
            </c:strRef>
          </c:cat>
          <c:val>
            <c:numRef>
              <c:f>'Power Breakdown'!$B$3:$B$12</c:f>
              <c:numCache>
                <c:formatCode>#,##0.0</c:formatCode>
                <c:ptCount val="10"/>
                <c:pt idx="0">
                  <c:v>46.1</c:v>
                </c:pt>
                <c:pt idx="1">
                  <c:v>46.1</c:v>
                </c:pt>
                <c:pt idx="2">
                  <c:v>46.1</c:v>
                </c:pt>
                <c:pt idx="3">
                  <c:v>34.6</c:v>
                </c:pt>
                <c:pt idx="4">
                  <c:v>34.6</c:v>
                </c:pt>
                <c:pt idx="5">
                  <c:v>34.6</c:v>
                </c:pt>
                <c:pt idx="6">
                  <c:v>112.5</c:v>
                </c:pt>
                <c:pt idx="7">
                  <c:v>0.8</c:v>
                </c:pt>
                <c:pt idx="8">
                  <c:v>0</c:v>
                </c:pt>
                <c:pt idx="9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'Power Breakdown'!C2</c:f>
              <c:strCache>
                <c:ptCount val="1"/>
                <c:pt idx="0">
                  <c:v>DSP48
(mW)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'Power Breakdown'!$A$3:$A$12</c:f>
              <c:strCache>
                <c:ptCount val="10"/>
                <c:pt idx="0">
                  <c:v>CS1 — CubeSat 1</c:v>
                </c:pt>
                <c:pt idx="1">
                  <c:v>CS2 — CubeSat 2</c:v>
                </c:pt>
                <c:pt idx="2">
                  <c:v>CS3 — CubeSat 3</c:v>
                </c:pt>
                <c:pt idx="3">
                  <c:v>UAV1 — UAV 1</c:v>
                </c:pt>
                <c:pt idx="4">
                  <c:v>UAV2 — UAV 2</c:v>
                </c:pt>
                <c:pt idx="5">
                  <c:v>UAV3 — UAV 3</c:v>
                </c:pt>
                <c:pt idx="6">
                  <c:v>Convergence Engine</c:v>
                </c:pt>
                <c:pt idx="7">
                  <c:v>Clock Gen</c:v>
                </c:pt>
                <c:pt idx="8">
                  <c:v>I/O Buffers</c:v>
                </c:pt>
                <c:pt idx="9">
                  <c:v>Static Leakage</c:v>
                </c:pt>
              </c:strCache>
            </c:strRef>
          </c:cat>
          <c:val>
            <c:numRef>
              <c:f>'Power Breakdown'!$C$3:$C$12</c:f>
              <c:numCache>
                <c:formatCode>#,##0.0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'Power Breakdown'!D2</c:f>
              <c:strCache>
                <c:ptCount val="1"/>
                <c:pt idx="0">
                  <c:v>BRAM
(mW)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'Power Breakdown'!$A$3:$A$12</c:f>
              <c:strCache>
                <c:ptCount val="10"/>
                <c:pt idx="0">
                  <c:v>CS1 — CubeSat 1</c:v>
                </c:pt>
                <c:pt idx="1">
                  <c:v>CS2 — CubeSat 2</c:v>
                </c:pt>
                <c:pt idx="2">
                  <c:v>CS3 — CubeSat 3</c:v>
                </c:pt>
                <c:pt idx="3">
                  <c:v>UAV1 — UAV 1</c:v>
                </c:pt>
                <c:pt idx="4">
                  <c:v>UAV2 — UAV 2</c:v>
                </c:pt>
                <c:pt idx="5">
                  <c:v>UAV3 — UAV 3</c:v>
                </c:pt>
                <c:pt idx="6">
                  <c:v>Convergence Engine</c:v>
                </c:pt>
                <c:pt idx="7">
                  <c:v>Clock Gen</c:v>
                </c:pt>
                <c:pt idx="8">
                  <c:v>I/O Buffers</c:v>
                </c:pt>
                <c:pt idx="9">
                  <c:v>Static Leakage</c:v>
                </c:pt>
              </c:strCache>
            </c:strRef>
          </c:cat>
          <c:val>
            <c:numRef>
              <c:f>'Power Breakdown'!$D$3:$D$12</c:f>
              <c:numCache>
                <c:formatCode>#,##0.0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strRef>
              <c:f>'Power Breakdown'!E2</c:f>
              <c:strCache>
                <c:ptCount val="1"/>
                <c:pt idx="0">
                  <c:v>I/O
(mW)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'Power Breakdown'!$A$3:$A$12</c:f>
              <c:strCache>
                <c:ptCount val="10"/>
                <c:pt idx="0">
                  <c:v>CS1 — CubeSat 1</c:v>
                </c:pt>
                <c:pt idx="1">
                  <c:v>CS2 — CubeSat 2</c:v>
                </c:pt>
                <c:pt idx="2">
                  <c:v>CS3 — CubeSat 3</c:v>
                </c:pt>
                <c:pt idx="3">
                  <c:v>UAV1 — UAV 1</c:v>
                </c:pt>
                <c:pt idx="4">
                  <c:v>UAV2 — UAV 2</c:v>
                </c:pt>
                <c:pt idx="5">
                  <c:v>UAV3 — UAV 3</c:v>
                </c:pt>
                <c:pt idx="6">
                  <c:v>Convergence Engine</c:v>
                </c:pt>
                <c:pt idx="7">
                  <c:v>Clock Gen</c:v>
                </c:pt>
                <c:pt idx="8">
                  <c:v>I/O Buffers</c:v>
                </c:pt>
                <c:pt idx="9">
                  <c:v>Static Leakage</c:v>
                </c:pt>
              </c:strCache>
            </c:strRef>
          </c:cat>
          <c:val>
            <c:numRef>
              <c:f>'Power Breakdown'!$E$3:$E$12</c:f>
              <c:numCache>
                <c:formatCode>#,##0.0</c:formatCode>
                <c:ptCount val="10"/>
                <c:pt idx="0">
                  <c:v>58.5</c:v>
                </c:pt>
                <c:pt idx="1">
                  <c:v>55.5</c:v>
                </c:pt>
                <c:pt idx="2">
                  <c:v>55.5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12</c:v>
                </c:pt>
                <c:pt idx="7">
                  <c:v>0</c:v>
                </c:pt>
                <c:pt idx="8">
                  <c:v>42</c:v>
                </c:pt>
                <c:pt idx="9">
                  <c:v>0</c:v>
                </c:pt>
              </c:numCache>
            </c:numRef>
          </c:val>
        </c:ser>
        <c:gapWidth val="150"/>
        <c:overlap val="100"/>
        <c:axId val="89963924"/>
        <c:axId val="12865700"/>
      </c:barChart>
      <c:catAx>
        <c:axId val="89963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65700"/>
        <c:crosses val="autoZero"/>
        <c:auto val="1"/>
        <c:lblAlgn val="ctr"/>
        <c:lblOffset val="100"/>
        <c:noMultiLvlLbl val="0"/>
      </c:catAx>
      <c:valAx>
        <c:axId val="12865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(mW)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63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581760</xdr:colOff>
      <xdr:row>23</xdr:row>
      <xdr:rowOff>67680</xdr:rowOff>
    </xdr:to>
    <xdr:graphicFrame>
      <xdr:nvGraphicFramePr>
        <xdr:cNvPr id="0" name="Chart 1"/>
        <xdr:cNvGraphicFramePr/>
      </xdr:nvGraphicFramePr>
      <xdr:xfrm>
        <a:off x="7378200" y="8096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6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customFormat="false" ht="42" hidden="false" customHeight="true" outlineLevel="0" collapsed="false">
      <c r="A5" s="5" t="s">
        <v>15</v>
      </c>
      <c r="B5" s="6" t="n">
        <v>480</v>
      </c>
      <c r="C5" s="6" t="n">
        <v>620</v>
      </c>
      <c r="D5" s="6" t="n">
        <v>2</v>
      </c>
      <c r="E5" s="6" t="n">
        <v>2</v>
      </c>
      <c r="F5" s="7" t="n">
        <v>46.1</v>
      </c>
      <c r="G5" s="7" t="n">
        <v>20</v>
      </c>
      <c r="H5" s="7" t="n">
        <v>24</v>
      </c>
      <c r="I5" s="7" t="n">
        <v>58.5</v>
      </c>
      <c r="J5" s="8" t="n">
        <f aca="false">SUM(F5:I5)</f>
        <v>148.6</v>
      </c>
      <c r="K5" s="9" t="n">
        <f aca="false">J5/5000</f>
        <v>0.02972</v>
      </c>
      <c r="L5" s="10" t="s">
        <v>16</v>
      </c>
    </row>
    <row r="6" customFormat="false" ht="42" hidden="false" customHeight="true" outlineLevel="0" collapsed="false">
      <c r="A6" s="11" t="s">
        <v>17</v>
      </c>
      <c r="B6" s="12" t="n">
        <v>480</v>
      </c>
      <c r="C6" s="12" t="n">
        <v>620</v>
      </c>
      <c r="D6" s="12" t="n">
        <v>2</v>
      </c>
      <c r="E6" s="12" t="n">
        <v>2</v>
      </c>
      <c r="F6" s="13" t="n">
        <v>46.1</v>
      </c>
      <c r="G6" s="13" t="n">
        <v>20</v>
      </c>
      <c r="H6" s="13" t="n">
        <v>24</v>
      </c>
      <c r="I6" s="13" t="n">
        <v>55.5</v>
      </c>
      <c r="J6" s="14" t="n">
        <f aca="false">SUM(F6:I6)</f>
        <v>145.6</v>
      </c>
      <c r="K6" s="15" t="n">
        <f aca="false">J6/5000</f>
        <v>0.02912</v>
      </c>
      <c r="L6" s="16" t="s">
        <v>18</v>
      </c>
    </row>
    <row r="7" customFormat="false" ht="42" hidden="false" customHeight="true" outlineLevel="0" collapsed="false">
      <c r="A7" s="17" t="s">
        <v>19</v>
      </c>
      <c r="B7" s="18" t="n">
        <v>480</v>
      </c>
      <c r="C7" s="18" t="n">
        <v>620</v>
      </c>
      <c r="D7" s="18" t="n">
        <v>2</v>
      </c>
      <c r="E7" s="18" t="n">
        <v>2</v>
      </c>
      <c r="F7" s="19" t="n">
        <v>46.1</v>
      </c>
      <c r="G7" s="19" t="n">
        <v>20</v>
      </c>
      <c r="H7" s="19" t="n">
        <v>24</v>
      </c>
      <c r="I7" s="19" t="n">
        <v>55.5</v>
      </c>
      <c r="J7" s="20" t="n">
        <f aca="false">SUM(F7:I7)</f>
        <v>145.6</v>
      </c>
      <c r="K7" s="21" t="n">
        <f aca="false">J7/5000</f>
        <v>0.02912</v>
      </c>
      <c r="L7" s="22" t="s">
        <v>20</v>
      </c>
    </row>
    <row r="8" customFormat="false" ht="42" hidden="false" customHeight="true" outlineLevel="0" collapsed="false">
      <c r="A8" s="23" t="s">
        <v>21</v>
      </c>
      <c r="B8" s="24" t="n">
        <v>360</v>
      </c>
      <c r="C8" s="24" t="n">
        <v>480</v>
      </c>
      <c r="D8" s="24" t="n">
        <v>1</v>
      </c>
      <c r="E8" s="24" t="n">
        <v>1</v>
      </c>
      <c r="F8" s="25" t="n">
        <v>34.6</v>
      </c>
      <c r="G8" s="25" t="n">
        <v>10</v>
      </c>
      <c r="H8" s="25" t="n">
        <v>12</v>
      </c>
      <c r="I8" s="25" t="n">
        <v>54</v>
      </c>
      <c r="J8" s="26" t="n">
        <f aca="false">SUM(F8:I8)</f>
        <v>110.6</v>
      </c>
      <c r="K8" s="27" t="n">
        <f aca="false">J8/5000</f>
        <v>0.02212</v>
      </c>
      <c r="L8" s="28" t="s">
        <v>22</v>
      </c>
    </row>
    <row r="9" customFormat="false" ht="42" hidden="false" customHeight="true" outlineLevel="0" collapsed="false">
      <c r="A9" s="29" t="s">
        <v>23</v>
      </c>
      <c r="B9" s="30" t="n">
        <v>360</v>
      </c>
      <c r="C9" s="30" t="n">
        <v>480</v>
      </c>
      <c r="D9" s="30" t="n">
        <v>1</v>
      </c>
      <c r="E9" s="30" t="n">
        <v>1</v>
      </c>
      <c r="F9" s="31" t="n">
        <v>34.6</v>
      </c>
      <c r="G9" s="31" t="n">
        <v>10</v>
      </c>
      <c r="H9" s="31" t="n">
        <v>12</v>
      </c>
      <c r="I9" s="31" t="n">
        <v>54</v>
      </c>
      <c r="J9" s="32" t="n">
        <f aca="false">SUM(F9:I9)</f>
        <v>110.6</v>
      </c>
      <c r="K9" s="33" t="n">
        <f aca="false">J9/5000</f>
        <v>0.02212</v>
      </c>
      <c r="L9" s="34" t="s">
        <v>24</v>
      </c>
    </row>
    <row r="10" customFormat="false" ht="42" hidden="false" customHeight="true" outlineLevel="0" collapsed="false">
      <c r="A10" s="35" t="s">
        <v>25</v>
      </c>
      <c r="B10" s="36" t="n">
        <v>360</v>
      </c>
      <c r="C10" s="36" t="n">
        <v>480</v>
      </c>
      <c r="D10" s="36" t="n">
        <v>1</v>
      </c>
      <c r="E10" s="36" t="n">
        <v>1</v>
      </c>
      <c r="F10" s="37" t="n">
        <v>34.6</v>
      </c>
      <c r="G10" s="37" t="n">
        <v>10</v>
      </c>
      <c r="H10" s="37" t="n">
        <v>12</v>
      </c>
      <c r="I10" s="37" t="n">
        <v>54</v>
      </c>
      <c r="J10" s="38" t="n">
        <f aca="false">SUM(F10:I10)</f>
        <v>110.6</v>
      </c>
      <c r="K10" s="39" t="n">
        <f aca="false">J10/5000</f>
        <v>0.02212</v>
      </c>
      <c r="L10" s="40" t="s">
        <v>26</v>
      </c>
    </row>
    <row r="11" customFormat="false" ht="42" hidden="false" customHeight="true" outlineLevel="0" collapsed="false">
      <c r="A11" s="41" t="s">
        <v>27</v>
      </c>
      <c r="B11" s="42" t="n">
        <v>820</v>
      </c>
      <c r="C11" s="42" t="n">
        <v>980</v>
      </c>
      <c r="D11" s="42" t="n">
        <v>6</v>
      </c>
      <c r="E11" s="42" t="n">
        <v>4</v>
      </c>
      <c r="F11" s="43" t="n">
        <v>112.5</v>
      </c>
      <c r="G11" s="43" t="n">
        <v>60</v>
      </c>
      <c r="H11" s="43" t="n">
        <v>48</v>
      </c>
      <c r="I11" s="43" t="n">
        <v>12</v>
      </c>
      <c r="J11" s="44" t="n">
        <f aca="false">SUM(F11:I11)</f>
        <v>232.5</v>
      </c>
      <c r="K11" s="45" t="n">
        <f aca="false">J11/5000</f>
        <v>0.0465</v>
      </c>
      <c r="L11" s="46" t="s">
        <v>28</v>
      </c>
    </row>
    <row r="12" customFormat="false" ht="42" hidden="false" customHeight="true" outlineLevel="0" collapsed="false">
      <c r="A12" s="11" t="s">
        <v>29</v>
      </c>
      <c r="B12" s="12" t="n">
        <v>8</v>
      </c>
      <c r="C12" s="12" t="n">
        <v>16</v>
      </c>
      <c r="D12" s="12" t="n">
        <v>0</v>
      </c>
      <c r="E12" s="12" t="n">
        <v>0</v>
      </c>
      <c r="F12" s="13" t="n">
        <v>0.8</v>
      </c>
      <c r="G12" s="13" t="n">
        <v>0</v>
      </c>
      <c r="H12" s="13" t="n">
        <v>0</v>
      </c>
      <c r="I12" s="13" t="n">
        <v>0</v>
      </c>
      <c r="J12" s="14" t="n">
        <f aca="false">SUM(F12:I12)</f>
        <v>0.8</v>
      </c>
      <c r="K12" s="15" t="n">
        <f aca="false">J12/5000</f>
        <v>0.00016</v>
      </c>
      <c r="L12" s="16" t="s">
        <v>30</v>
      </c>
    </row>
    <row r="13" customFormat="false" ht="42" hidden="false" customHeight="true" outlineLevel="0" collapsed="false">
      <c r="A13" s="47" t="s">
        <v>31</v>
      </c>
      <c r="B13" s="48" t="n">
        <v>0</v>
      </c>
      <c r="C13" s="48" t="n">
        <v>0</v>
      </c>
      <c r="D13" s="48" t="n">
        <v>0</v>
      </c>
      <c r="E13" s="48" t="n">
        <v>0</v>
      </c>
      <c r="F13" s="49" t="n">
        <v>0</v>
      </c>
      <c r="G13" s="49" t="n">
        <v>0</v>
      </c>
      <c r="H13" s="49" t="n">
        <v>0</v>
      </c>
      <c r="I13" s="49" t="n">
        <v>42</v>
      </c>
      <c r="J13" s="50" t="n">
        <f aca="false">SUM(F13:I13)</f>
        <v>42</v>
      </c>
      <c r="K13" s="51" t="n">
        <f aca="false">J13/5000</f>
        <v>0.0084</v>
      </c>
      <c r="L13" s="52" t="s">
        <v>32</v>
      </c>
    </row>
    <row r="14" customFormat="false" ht="42" hidden="false" customHeight="true" outlineLevel="0" collapsed="false">
      <c r="A14" s="53" t="s">
        <v>33</v>
      </c>
      <c r="B14" s="54" t="n">
        <v>0</v>
      </c>
      <c r="C14" s="54" t="n">
        <v>0</v>
      </c>
      <c r="D14" s="54" t="n">
        <v>0</v>
      </c>
      <c r="E14" s="54" t="n">
        <v>0</v>
      </c>
      <c r="F14" s="55" t="n">
        <v>180</v>
      </c>
      <c r="G14" s="55" t="n">
        <v>0</v>
      </c>
      <c r="H14" s="55" t="n">
        <v>0</v>
      </c>
      <c r="I14" s="55" t="n">
        <v>0</v>
      </c>
      <c r="J14" s="56" t="n">
        <f aca="false">SUM(F14:I14)</f>
        <v>180</v>
      </c>
      <c r="K14" s="57" t="n">
        <f aca="false">J14/5000</f>
        <v>0.036</v>
      </c>
      <c r="L14" s="58" t="s">
        <v>34</v>
      </c>
    </row>
    <row r="15" customFormat="false" ht="27.75" hidden="false" customHeight="true" outlineLevel="0" collapsed="false">
      <c r="A15" s="4" t="s">
        <v>35</v>
      </c>
      <c r="B15" s="59" t="n">
        <f aca="false">SUM(B5:B14)</f>
        <v>3348</v>
      </c>
      <c r="C15" s="59" t="n">
        <f aca="false">SUM(C5:C14)</f>
        <v>4296</v>
      </c>
      <c r="D15" s="59" t="n">
        <f aca="false">SUM(D5:D14)</f>
        <v>15</v>
      </c>
      <c r="E15" s="59" t="n">
        <f aca="false">SUM(E5:E14)</f>
        <v>13</v>
      </c>
      <c r="F15" s="59" t="n">
        <f aca="false">SUM(F5:F14)</f>
        <v>535.4</v>
      </c>
      <c r="G15" s="59" t="n">
        <f aca="false">SUM(G5:G14)</f>
        <v>150</v>
      </c>
      <c r="H15" s="59" t="n">
        <f aca="false">SUM(H5:H14)</f>
        <v>156</v>
      </c>
      <c r="I15" s="59" t="n">
        <f aca="false">SUM(I5:I14)</f>
        <v>385.5</v>
      </c>
      <c r="J15" s="59" t="n">
        <f aca="false">SUM(J5:J14)</f>
        <v>1226.9</v>
      </c>
      <c r="K15" s="60" t="n">
        <f aca="false">J15/5000</f>
        <v>0.24538</v>
      </c>
      <c r="L15" s="4"/>
    </row>
    <row r="17" customFormat="false" ht="19.5" hidden="false" customHeight="true" outlineLevel="0" collapsed="false">
      <c r="A17" s="61" t="s">
        <v>36</v>
      </c>
      <c r="B17" s="61"/>
      <c r="C17" s="61"/>
    </row>
    <row r="18" customFormat="false" ht="19.5" hidden="false" customHeight="true" outlineLevel="0" collapsed="false">
      <c r="A18" s="62" t="s">
        <v>37</v>
      </c>
      <c r="B18" s="62"/>
      <c r="C18" s="63" t="n">
        <v>5000</v>
      </c>
    </row>
    <row r="19" customFormat="false" ht="19.5" hidden="false" customHeight="true" outlineLevel="0" collapsed="false">
      <c r="A19" s="64" t="s">
        <v>38</v>
      </c>
      <c r="B19" s="64"/>
      <c r="C19" s="65" t="n">
        <f aca="false">J15</f>
        <v>1226.9</v>
      </c>
    </row>
    <row r="20" customFormat="false" ht="19.5" hidden="false" customHeight="true" outlineLevel="0" collapsed="false">
      <c r="A20" s="66" t="s">
        <v>39</v>
      </c>
      <c r="B20" s="66"/>
      <c r="C20" s="67" t="n">
        <f aca="false">5000-J15</f>
        <v>3773.1</v>
      </c>
    </row>
    <row r="21" customFormat="false" ht="19.5" hidden="false" customHeight="true" outlineLevel="0" collapsed="false">
      <c r="A21" s="66" t="s">
        <v>40</v>
      </c>
      <c r="B21" s="66"/>
      <c r="C21" s="68" t="n">
        <f aca="false">(5000-J15)/5000</f>
        <v>0.75462</v>
      </c>
    </row>
    <row r="22" customFormat="false" ht="19.5" hidden="false" customHeight="true" outlineLevel="0" collapsed="false">
      <c r="A22" s="62" t="s">
        <v>41</v>
      </c>
      <c r="B22" s="62"/>
      <c r="C22" s="69" t="n">
        <f aca="false">B15/20800</f>
        <v>0.160961538461538</v>
      </c>
    </row>
    <row r="23" customFormat="false" ht="19.5" hidden="false" customHeight="true" outlineLevel="0" collapsed="false">
      <c r="A23" s="62" t="s">
        <v>42</v>
      </c>
      <c r="B23" s="62"/>
      <c r="C23" s="69" t="n">
        <f aca="false">C15/41600</f>
        <v>0.103269230769231</v>
      </c>
    </row>
    <row r="24" customFormat="false" ht="19.5" hidden="false" customHeight="true" outlineLevel="0" collapsed="false">
      <c r="A24" s="62" t="s">
        <v>43</v>
      </c>
      <c r="B24" s="62"/>
      <c r="C24" s="69" t="n">
        <f aca="false">D15/90</f>
        <v>0.166666666666667</v>
      </c>
    </row>
    <row r="25" customFormat="false" ht="19.5" hidden="false" customHeight="true" outlineLevel="0" collapsed="false">
      <c r="A25" s="62" t="s">
        <v>44</v>
      </c>
      <c r="B25" s="62"/>
      <c r="C25" s="69" t="n">
        <f aca="false">E15/50</f>
        <v>0.26</v>
      </c>
    </row>
    <row r="27" customFormat="false" ht="13.5" hidden="false" customHeight="true" outlineLevel="0" collapsed="false">
      <c r="A27" s="70" t="s">
        <v>45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</row>
  </sheetData>
  <mergeCells count="13">
    <mergeCell ref="A1:L1"/>
    <mergeCell ref="A2:L2"/>
    <mergeCell ref="A3:L3"/>
    <mergeCell ref="A17:C17"/>
    <mergeCell ref="A18:B18"/>
    <mergeCell ref="A19:B19"/>
    <mergeCell ref="A20:B20"/>
    <mergeCell ref="A21:B21"/>
    <mergeCell ref="A22:B22"/>
    <mergeCell ref="A23:B23"/>
    <mergeCell ref="A24:B24"/>
    <mergeCell ref="A25:B25"/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27.75" hidden="false" customHeight="true" outlineLevel="0" collapsed="false">
      <c r="A1" s="71" t="s">
        <v>46</v>
      </c>
      <c r="B1" s="71"/>
      <c r="C1" s="71"/>
      <c r="D1" s="71"/>
      <c r="E1" s="71"/>
      <c r="F1" s="71"/>
    </row>
    <row r="2" customFormat="false" ht="36" hidden="false" customHeight="true" outlineLevel="0" collapsed="false">
      <c r="A2" s="4" t="s">
        <v>3</v>
      </c>
      <c r="B2" s="4" t="s">
        <v>47</v>
      </c>
      <c r="C2" s="4" t="s">
        <v>9</v>
      </c>
      <c r="D2" s="4" t="s">
        <v>10</v>
      </c>
      <c r="E2" s="4" t="s">
        <v>11</v>
      </c>
      <c r="F2" s="4" t="s">
        <v>48</v>
      </c>
    </row>
    <row r="3" customFormat="false" ht="21.75" hidden="false" customHeight="true" outlineLevel="0" collapsed="false">
      <c r="A3" s="5" t="s">
        <v>15</v>
      </c>
      <c r="B3" s="7" t="n">
        <v>46.1</v>
      </c>
      <c r="C3" s="7" t="n">
        <v>20</v>
      </c>
      <c r="D3" s="7" t="n">
        <v>24</v>
      </c>
      <c r="E3" s="7" t="n">
        <v>58.5</v>
      </c>
      <c r="F3" s="8" t="n">
        <f aca="false">SUM(B3:E3)</f>
        <v>148.6</v>
      </c>
    </row>
    <row r="4" customFormat="false" ht="21.75" hidden="false" customHeight="true" outlineLevel="0" collapsed="false">
      <c r="A4" s="11" t="s">
        <v>17</v>
      </c>
      <c r="B4" s="13" t="n">
        <v>46.1</v>
      </c>
      <c r="C4" s="13" t="n">
        <v>20</v>
      </c>
      <c r="D4" s="13" t="n">
        <v>24</v>
      </c>
      <c r="E4" s="13" t="n">
        <v>55.5</v>
      </c>
      <c r="F4" s="14" t="n">
        <f aca="false">SUM(B4:E4)</f>
        <v>145.6</v>
      </c>
    </row>
    <row r="5" customFormat="false" ht="21.75" hidden="false" customHeight="true" outlineLevel="0" collapsed="false">
      <c r="A5" s="17" t="s">
        <v>19</v>
      </c>
      <c r="B5" s="19" t="n">
        <v>46.1</v>
      </c>
      <c r="C5" s="19" t="n">
        <v>20</v>
      </c>
      <c r="D5" s="19" t="n">
        <v>24</v>
      </c>
      <c r="E5" s="19" t="n">
        <v>55.5</v>
      </c>
      <c r="F5" s="20" t="n">
        <f aca="false">SUM(B5:E5)</f>
        <v>145.6</v>
      </c>
    </row>
    <row r="6" customFormat="false" ht="21.75" hidden="false" customHeight="true" outlineLevel="0" collapsed="false">
      <c r="A6" s="23" t="s">
        <v>21</v>
      </c>
      <c r="B6" s="25" t="n">
        <v>34.6</v>
      </c>
      <c r="C6" s="25" t="n">
        <v>10</v>
      </c>
      <c r="D6" s="25" t="n">
        <v>12</v>
      </c>
      <c r="E6" s="25" t="n">
        <v>54</v>
      </c>
      <c r="F6" s="26" t="n">
        <f aca="false">SUM(B6:E6)</f>
        <v>110.6</v>
      </c>
    </row>
    <row r="7" customFormat="false" ht="21.75" hidden="false" customHeight="true" outlineLevel="0" collapsed="false">
      <c r="A7" s="29" t="s">
        <v>23</v>
      </c>
      <c r="B7" s="31" t="n">
        <v>34.6</v>
      </c>
      <c r="C7" s="31" t="n">
        <v>10</v>
      </c>
      <c r="D7" s="31" t="n">
        <v>12</v>
      </c>
      <c r="E7" s="31" t="n">
        <v>54</v>
      </c>
      <c r="F7" s="32" t="n">
        <f aca="false">SUM(B7:E7)</f>
        <v>110.6</v>
      </c>
    </row>
    <row r="8" customFormat="false" ht="21.75" hidden="false" customHeight="true" outlineLevel="0" collapsed="false">
      <c r="A8" s="35" t="s">
        <v>25</v>
      </c>
      <c r="B8" s="37" t="n">
        <v>34.6</v>
      </c>
      <c r="C8" s="37" t="n">
        <v>10</v>
      </c>
      <c r="D8" s="37" t="n">
        <v>12</v>
      </c>
      <c r="E8" s="37" t="n">
        <v>54</v>
      </c>
      <c r="F8" s="38" t="n">
        <f aca="false">SUM(B8:E8)</f>
        <v>110.6</v>
      </c>
    </row>
    <row r="9" customFormat="false" ht="21.75" hidden="false" customHeight="true" outlineLevel="0" collapsed="false">
      <c r="A9" s="41" t="s">
        <v>27</v>
      </c>
      <c r="B9" s="43" t="n">
        <v>112.5</v>
      </c>
      <c r="C9" s="43" t="n">
        <v>60</v>
      </c>
      <c r="D9" s="43" t="n">
        <v>48</v>
      </c>
      <c r="E9" s="43" t="n">
        <v>12</v>
      </c>
      <c r="F9" s="44" t="n">
        <f aca="false">SUM(B9:E9)</f>
        <v>232.5</v>
      </c>
    </row>
    <row r="10" customFormat="false" ht="21.75" hidden="false" customHeight="true" outlineLevel="0" collapsed="false">
      <c r="A10" s="11" t="s">
        <v>49</v>
      </c>
      <c r="B10" s="13" t="n">
        <v>0.8</v>
      </c>
      <c r="C10" s="13" t="n">
        <v>0</v>
      </c>
      <c r="D10" s="13" t="n">
        <v>0</v>
      </c>
      <c r="E10" s="13" t="n">
        <v>0</v>
      </c>
      <c r="F10" s="14" t="n">
        <f aca="false">SUM(B10:E10)</f>
        <v>0.8</v>
      </c>
    </row>
    <row r="11" customFormat="false" ht="21.75" hidden="false" customHeight="true" outlineLevel="0" collapsed="false">
      <c r="A11" s="47" t="s">
        <v>50</v>
      </c>
      <c r="B11" s="49" t="n">
        <v>0</v>
      </c>
      <c r="C11" s="49" t="n">
        <v>0</v>
      </c>
      <c r="D11" s="49" t="n">
        <v>0</v>
      </c>
      <c r="E11" s="49" t="n">
        <v>42</v>
      </c>
      <c r="F11" s="50" t="n">
        <f aca="false">SUM(B11:E11)</f>
        <v>42</v>
      </c>
    </row>
    <row r="12" customFormat="false" ht="21.75" hidden="false" customHeight="true" outlineLevel="0" collapsed="false">
      <c r="A12" s="53" t="s">
        <v>33</v>
      </c>
      <c r="B12" s="55" t="n">
        <v>180</v>
      </c>
      <c r="C12" s="55" t="n">
        <v>0</v>
      </c>
      <c r="D12" s="55" t="n">
        <v>0</v>
      </c>
      <c r="E12" s="55" t="n">
        <v>0</v>
      </c>
      <c r="F12" s="56" t="n">
        <f aca="false">SUM(B12:E12)</f>
        <v>180</v>
      </c>
    </row>
    <row r="13" customFormat="false" ht="24" hidden="false" customHeight="true" outlineLevel="0" collapsed="false">
      <c r="A13" s="4" t="s">
        <v>35</v>
      </c>
      <c r="B13" s="59" t="n">
        <f aca="false">SUM(B3:B12)</f>
        <v>535.4</v>
      </c>
      <c r="C13" s="59" t="n">
        <f aca="false">SUM(C3:C12)</f>
        <v>150</v>
      </c>
      <c r="D13" s="59" t="n">
        <f aca="false">SUM(D3:D12)</f>
        <v>156</v>
      </c>
      <c r="E13" s="59" t="n">
        <f aca="false">SUM(E3:E12)</f>
        <v>385.5</v>
      </c>
      <c r="F13" s="59" t="n">
        <f aca="false">SUM(F3:F12)</f>
        <v>1226.9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5" min="4" style="0" width="16"/>
  </cols>
  <sheetData>
    <row r="1" customFormat="false" ht="27.75" hidden="false" customHeight="true" outlineLevel="0" collapsed="false">
      <c r="A1" s="71" t="s">
        <v>51</v>
      </c>
      <c r="B1" s="71"/>
      <c r="C1" s="71"/>
      <c r="D1" s="71"/>
      <c r="E1" s="71"/>
    </row>
    <row r="2" customFormat="false" ht="21.75" hidden="false" customHeight="true" outlineLevel="0" collapsed="false">
      <c r="A2" s="72" t="s">
        <v>52</v>
      </c>
      <c r="B2" s="72"/>
      <c r="C2" s="72"/>
      <c r="D2" s="72"/>
      <c r="E2" s="72"/>
    </row>
    <row r="3" customFormat="false" ht="24" hidden="false" customHeight="true" outlineLevel="0" collapsed="false">
      <c r="A3" s="73" t="s">
        <v>53</v>
      </c>
      <c r="B3" s="73" t="s">
        <v>54</v>
      </c>
      <c r="C3" s="73" t="s">
        <v>55</v>
      </c>
      <c r="D3" s="73" t="s">
        <v>56</v>
      </c>
      <c r="E3" s="73" t="s">
        <v>57</v>
      </c>
    </row>
    <row r="4" customFormat="false" ht="51.75" hidden="false" customHeight="true" outlineLevel="0" collapsed="false">
      <c r="A4" s="74" t="s">
        <v>58</v>
      </c>
      <c r="B4" s="75" t="s">
        <v>59</v>
      </c>
      <c r="C4" s="76" t="s">
        <v>60</v>
      </c>
      <c r="D4" s="74" t="s">
        <v>61</v>
      </c>
      <c r="E4" s="74" t="s">
        <v>62</v>
      </c>
    </row>
    <row r="5" customFormat="false" ht="51.75" hidden="false" customHeight="true" outlineLevel="0" collapsed="false">
      <c r="A5" s="77" t="s">
        <v>63</v>
      </c>
      <c r="B5" s="78" t="s">
        <v>64</v>
      </c>
      <c r="C5" s="79" t="s">
        <v>65</v>
      </c>
      <c r="D5" s="77" t="s">
        <v>66</v>
      </c>
      <c r="E5" s="80" t="s">
        <v>67</v>
      </c>
    </row>
    <row r="6" customFormat="false" ht="51.75" hidden="false" customHeight="true" outlineLevel="0" collapsed="false">
      <c r="A6" s="81" t="s">
        <v>68</v>
      </c>
      <c r="B6" s="82" t="s">
        <v>69</v>
      </c>
      <c r="C6" s="83" t="s">
        <v>70</v>
      </c>
      <c r="D6" s="81" t="s">
        <v>71</v>
      </c>
      <c r="E6" s="81" t="s">
        <v>72</v>
      </c>
    </row>
    <row r="7" customFormat="false" ht="51.75" hidden="false" customHeight="true" outlineLevel="0" collapsed="false">
      <c r="A7" s="81" t="s">
        <v>73</v>
      </c>
      <c r="B7" s="82" t="s">
        <v>74</v>
      </c>
      <c r="C7" s="83" t="s">
        <v>75</v>
      </c>
      <c r="D7" s="81" t="s">
        <v>76</v>
      </c>
      <c r="E7" s="81" t="s">
        <v>72</v>
      </c>
    </row>
    <row r="8" customFormat="false" ht="51.75" hidden="false" customHeight="true" outlineLevel="0" collapsed="false">
      <c r="A8" s="77" t="s">
        <v>77</v>
      </c>
      <c r="B8" s="78" t="s">
        <v>78</v>
      </c>
      <c r="C8" s="79" t="s">
        <v>79</v>
      </c>
      <c r="D8" s="77" t="s">
        <v>80</v>
      </c>
      <c r="E8" s="80" t="s">
        <v>67</v>
      </c>
    </row>
    <row r="9" customFormat="false" ht="51.75" hidden="false" customHeight="true" outlineLevel="0" collapsed="false">
      <c r="A9" s="81" t="s">
        <v>81</v>
      </c>
      <c r="B9" s="82" t="s">
        <v>82</v>
      </c>
      <c r="C9" s="83" t="s">
        <v>83</v>
      </c>
      <c r="D9" s="81" t="s">
        <v>84</v>
      </c>
      <c r="E9" s="81" t="s">
        <v>72</v>
      </c>
    </row>
    <row r="10" customFormat="false" ht="51.75" hidden="false" customHeight="true" outlineLevel="0" collapsed="false">
      <c r="A10" s="74" t="s">
        <v>85</v>
      </c>
      <c r="B10" s="75" t="s">
        <v>86</v>
      </c>
      <c r="C10" s="76" t="s">
        <v>87</v>
      </c>
      <c r="D10" s="74" t="s">
        <v>88</v>
      </c>
      <c r="E10" s="74" t="s">
        <v>62</v>
      </c>
    </row>
    <row r="11" customFormat="false" ht="51.75" hidden="false" customHeight="true" outlineLevel="0" collapsed="false">
      <c r="A11" s="84" t="s">
        <v>89</v>
      </c>
      <c r="B11" s="85" t="s">
        <v>90</v>
      </c>
      <c r="C11" s="86" t="s">
        <v>91</v>
      </c>
      <c r="D11" s="84" t="s">
        <v>92</v>
      </c>
      <c r="E11" s="87" t="s">
        <v>67</v>
      </c>
    </row>
    <row r="12" customFormat="false" ht="51.75" hidden="false" customHeight="true" outlineLevel="0" collapsed="false">
      <c r="A12" s="77" t="s">
        <v>93</v>
      </c>
      <c r="B12" s="78" t="s">
        <v>94</v>
      </c>
      <c r="C12" s="79" t="s">
        <v>95</v>
      </c>
      <c r="D12" s="77" t="s">
        <v>96</v>
      </c>
      <c r="E12" s="80" t="s">
        <v>67</v>
      </c>
    </row>
    <row r="13" customFormat="false" ht="51.75" hidden="false" customHeight="true" outlineLevel="0" collapsed="false">
      <c r="A13" s="84" t="s">
        <v>97</v>
      </c>
      <c r="B13" s="85" t="s">
        <v>98</v>
      </c>
      <c r="C13" s="86" t="s">
        <v>99</v>
      </c>
      <c r="D13" s="84" t="s">
        <v>100</v>
      </c>
      <c r="E13" s="88" t="s">
        <v>101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27.75" hidden="false" customHeight="true" outlineLevel="0" collapsed="false">
      <c r="A1" s="71" t="s">
        <v>102</v>
      </c>
      <c r="B1" s="71"/>
      <c r="C1" s="71"/>
    </row>
    <row r="2" customFormat="false" ht="19.5" hidden="false" customHeight="true" outlineLevel="0" collapsed="false">
      <c r="A2" s="89" t="s">
        <v>103</v>
      </c>
      <c r="B2" s="89" t="s">
        <v>104</v>
      </c>
      <c r="C2" s="89" t="s">
        <v>105</v>
      </c>
    </row>
    <row r="3" customFormat="false" ht="19.5" hidden="false" customHeight="true" outlineLevel="0" collapsed="false">
      <c r="A3" s="90" t="s">
        <v>106</v>
      </c>
      <c r="B3" s="91" t="s">
        <v>107</v>
      </c>
      <c r="C3" s="91" t="s">
        <v>108</v>
      </c>
    </row>
    <row r="4" customFormat="false" ht="19.5" hidden="false" customHeight="true" outlineLevel="0" collapsed="false">
      <c r="A4" s="92" t="s">
        <v>109</v>
      </c>
      <c r="B4" s="93" t="s">
        <v>110</v>
      </c>
      <c r="C4" s="93" t="s">
        <v>111</v>
      </c>
    </row>
    <row r="5" customFormat="false" ht="19.5" hidden="false" customHeight="true" outlineLevel="0" collapsed="false">
      <c r="A5" s="90" t="s">
        <v>112</v>
      </c>
      <c r="B5" s="91" t="s">
        <v>113</v>
      </c>
      <c r="C5" s="91" t="s">
        <v>114</v>
      </c>
    </row>
    <row r="6" customFormat="false" ht="19.5" hidden="false" customHeight="true" outlineLevel="0" collapsed="false">
      <c r="A6" s="92" t="s">
        <v>115</v>
      </c>
      <c r="B6" s="93" t="s">
        <v>116</v>
      </c>
      <c r="C6" s="93" t="s">
        <v>117</v>
      </c>
    </row>
    <row r="7" customFormat="false" ht="19.5" hidden="false" customHeight="true" outlineLevel="0" collapsed="false">
      <c r="A7" s="90" t="s">
        <v>118</v>
      </c>
      <c r="B7" s="91" t="s">
        <v>119</v>
      </c>
      <c r="C7" s="91" t="s">
        <v>120</v>
      </c>
    </row>
    <row r="8" customFormat="false" ht="19.5" hidden="false" customHeight="true" outlineLevel="0" collapsed="false">
      <c r="A8" s="92" t="s">
        <v>121</v>
      </c>
      <c r="B8" s="93" t="s">
        <v>122</v>
      </c>
      <c r="C8" s="93" t="s">
        <v>123</v>
      </c>
    </row>
    <row r="9" customFormat="false" ht="19.5" hidden="false" customHeight="true" outlineLevel="0" collapsed="false">
      <c r="A9" s="90" t="s">
        <v>124</v>
      </c>
      <c r="B9" s="91" t="s">
        <v>122</v>
      </c>
      <c r="C9" s="91" t="s">
        <v>123</v>
      </c>
    </row>
    <row r="10" customFormat="false" ht="19.5" hidden="false" customHeight="true" outlineLevel="0" collapsed="false">
      <c r="A10" s="92" t="s">
        <v>125</v>
      </c>
      <c r="B10" s="93" t="s">
        <v>126</v>
      </c>
      <c r="C10" s="93" t="s">
        <v>127</v>
      </c>
    </row>
    <row r="11" customFormat="false" ht="19.5" hidden="false" customHeight="true" outlineLevel="0" collapsed="false">
      <c r="A11" s="90" t="s">
        <v>128</v>
      </c>
      <c r="B11" s="91" t="s">
        <v>129</v>
      </c>
      <c r="C11" s="91" t="s">
        <v>130</v>
      </c>
    </row>
    <row r="12" customFormat="false" ht="19.5" hidden="false" customHeight="true" outlineLevel="0" collapsed="false">
      <c r="A12" s="92" t="s">
        <v>131</v>
      </c>
      <c r="B12" s="93" t="s">
        <v>132</v>
      </c>
      <c r="C12" s="93" t="s">
        <v>133</v>
      </c>
    </row>
    <row r="13" customFormat="false" ht="19.5" hidden="false" customHeight="true" outlineLevel="0" collapsed="false">
      <c r="A13" s="90" t="s">
        <v>134</v>
      </c>
      <c r="B13" s="91" t="s">
        <v>135</v>
      </c>
      <c r="C13" s="91" t="s">
        <v>136</v>
      </c>
    </row>
    <row r="14" customFormat="false" ht="19.5" hidden="false" customHeight="true" outlineLevel="0" collapsed="false">
      <c r="A14" s="92" t="s">
        <v>137</v>
      </c>
      <c r="B14" s="93" t="s">
        <v>132</v>
      </c>
      <c r="C14" s="93" t="s">
        <v>138</v>
      </c>
    </row>
    <row r="15" customFormat="false" ht="19.5" hidden="false" customHeight="true" outlineLevel="0" collapsed="false">
      <c r="A15" s="90" t="s">
        <v>139</v>
      </c>
      <c r="B15" s="91" t="s">
        <v>140</v>
      </c>
      <c r="C15" s="91" t="s">
        <v>141</v>
      </c>
    </row>
    <row r="16" customFormat="false" ht="19.5" hidden="false" customHeight="true" outlineLevel="0" collapsed="false">
      <c r="A16" s="92" t="s">
        <v>142</v>
      </c>
      <c r="B16" s="93" t="s">
        <v>143</v>
      </c>
      <c r="C16" s="93" t="s">
        <v>144</v>
      </c>
    </row>
    <row r="17" customFormat="false" ht="19.5" hidden="false" customHeight="true" outlineLevel="0" collapsed="false">
      <c r="A17" s="90" t="s">
        <v>145</v>
      </c>
      <c r="B17" s="91" t="s">
        <v>146</v>
      </c>
      <c r="C17" s="91" t="s">
        <v>147</v>
      </c>
    </row>
    <row r="18" customFormat="false" ht="19.5" hidden="false" customHeight="true" outlineLevel="0" collapsed="false">
      <c r="A18" s="92" t="s">
        <v>148</v>
      </c>
      <c r="B18" s="93" t="s">
        <v>149</v>
      </c>
      <c r="C18" s="93" t="s">
        <v>150</v>
      </c>
    </row>
    <row r="19" customFormat="false" ht="19.5" hidden="false" customHeight="true" outlineLevel="0" collapsed="false">
      <c r="A19" s="90" t="s">
        <v>151</v>
      </c>
      <c r="B19" s="91" t="s">
        <v>152</v>
      </c>
      <c r="C19" s="91" t="s">
        <v>153</v>
      </c>
    </row>
    <row r="20" customFormat="false" ht="19.5" hidden="false" customHeight="true" outlineLevel="0" collapsed="false">
      <c r="A20" s="92" t="s">
        <v>154</v>
      </c>
      <c r="B20" s="93" t="s">
        <v>155</v>
      </c>
      <c r="C20" s="93" t="s">
        <v>156</v>
      </c>
    </row>
    <row r="21" customFormat="false" ht="19.5" hidden="false" customHeight="true" outlineLevel="0" collapsed="false">
      <c r="A21" s="90" t="s">
        <v>157</v>
      </c>
      <c r="B21" s="91" t="s">
        <v>158</v>
      </c>
      <c r="C21" s="91" t="s">
        <v>159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2026-03-20T17:14:31Z</dcterms:created>
  <dc:creator>openpyxl</dc:creator>
  <dc:description/>
  <dc:language>en-US</dc:language>
  <cp:lastModifiedBy/>
  <dcterms:modified xsi:type="dcterms:W3CDTF">2026-03-20T17:14:41Z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